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nthly Spend" sheetId="2" state="visible" r:id="rId4"/>
    <sheet name="By Territory" sheetId="3" state="visible" r:id="rId5"/>
    <sheet name="How to Upda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<sst xmlns="http://schemas.openxmlformats.org/spreadsheetml/2006/main" count="107" uniqueCount="97">
  <si>
    <t xml:space="preserve">Plug and Play – Paid Ads Spend 2026</t>
  </si>
  <si>
    <t xml:space="preserve">Data up to:</t>
  </si>
  <si>
    <t xml:space="preserve">EUR → USD rate used:</t>
  </si>
  <si>
    <t xml:space="preserve">≈ 2026 average so far. Replace with the rate Finance uses.</t>
  </si>
  <si>
    <t xml:space="preserve">Google Ads budget (EUR):</t>
  </si>
  <si>
    <t xml:space="preserve">Google's budget is set in euros; converted to USD below with the rate above.</t>
  </si>
  <si>
    <t xml:space="preserve">1. Spend vs. budget by platform (all in USD)</t>
  </si>
  <si>
    <t xml:space="preserve">Platform</t>
  </si>
  <si>
    <t xml:space="preserve">2026 Budget</t>
  </si>
  <si>
    <t xml:space="preserve">Q1
Jan–Mar</t>
  </si>
  <si>
    <t xml:space="preserve">Q2
Apr–Jun</t>
  </si>
  <si>
    <t xml:space="preserve">Q3 Jul–Sep
(last quarter)</t>
  </si>
  <si>
    <t xml:space="preserve">Q4
Oct–Dec</t>
  </si>
  <si>
    <t xml:space="preserve">Total spent 2026</t>
  </si>
  <si>
    <t xml:space="preserve">Budget left</t>
  </si>
  <si>
    <t xml:space="preserve">% of budget spent</t>
  </si>
  <si>
    <t xml:space="preserve">Meta</t>
  </si>
  <si>
    <t xml:space="preserve">Google Ads</t>
  </si>
  <si>
    <t xml:space="preserve">Total Meta + Google</t>
  </si>
  <si>
    <t xml:space="preserve">ChatGPT Ads (separate budget)</t>
  </si>
  <si>
    <t xml:space="preserve">Grand total – all platforms</t>
  </si>
  <si>
    <t xml:space="preserve">Google Ads and ChatGPT Ads are billed in EUR and converted at the rate in B3. ChatGPT Ads is paid outside the Meta + Google budget.</t>
  </si>
  <si>
    <t xml:space="preserve">2. Key numbers</t>
  </si>
  <si>
    <t xml:space="preserve">Spent last quarter (Q3: Jul–Sep), all platforms</t>
  </si>
  <si>
    <t xml:space="preserve">Spent so far in 2026, all platforms</t>
  </si>
  <si>
    <t xml:space="preserve">Meta + Google budget for 2026</t>
  </si>
  <si>
    <t xml:space="preserve">Meta + Google budget left for Oct–Dec</t>
  </si>
  <si>
    <t xml:space="preserve">Possible stretch budget (not approved)</t>
  </si>
  <si>
    <t xml:space="preserve">Budget left for Oct–Dec if we stretch</t>
  </si>
  <si>
    <t xml:space="preserve">Google Ads spent so far, in EUR (as billed)</t>
  </si>
  <si>
    <t xml:space="preserve">Google Ads budget left, in EUR</t>
  </si>
  <si>
    <t xml:space="preserve">Red = 90% or more of the annual budget already spent, or over budget.</t>
  </si>
  <si>
    <t xml:space="preserve">Monthly Spend 2026</t>
  </si>
  <si>
    <t xml:space="preserve">Amounts in the currency each platform bills in. Yellow cells = type here. The Total column converts everything to USD using the rate on the Summary tab.</t>
  </si>
  <si>
    <t xml:space="preserve">Month</t>
  </si>
  <si>
    <t xml:space="preserve">Quarter</t>
  </si>
  <si>
    <t xml:space="preserve">Meta
(USD)</t>
  </si>
  <si>
    <t xml:space="preserve">Google Ads
(EUR)</t>
  </si>
  <si>
    <t xml:space="preserve">ChatGPT Ads
(EUR)</t>
  </si>
  <si>
    <t xml:space="preserve">Total
(USD)</t>
  </si>
  <si>
    <t xml:space="preserve">Jan 2026</t>
  </si>
  <si>
    <t xml:space="preserve">Q1</t>
  </si>
  <si>
    <t xml:space="preserve">Feb 2026</t>
  </si>
  <si>
    <t xml:space="preserve">Mar 2026</t>
  </si>
  <si>
    <t xml:space="preserve">Apr 2026</t>
  </si>
  <si>
    <t xml:space="preserve">Q2</t>
  </si>
  <si>
    <t xml:space="preserve">May 2026</t>
  </si>
  <si>
    <t xml:space="preserve">Jun 2026</t>
  </si>
  <si>
    <t xml:space="preserve">Jul 2026</t>
  </si>
  <si>
    <t xml:space="preserve">Q3</t>
  </si>
  <si>
    <t xml:space="preserve">Aug 2026</t>
  </si>
  <si>
    <t xml:space="preserve">Sep 2026</t>
  </si>
  <si>
    <t xml:space="preserve">Oct 2026</t>
  </si>
  <si>
    <t xml:space="preserve">Q4</t>
  </si>
  <si>
    <t xml:space="preserve">Nov 2026</t>
  </si>
  <si>
    <t xml:space="preserve">Dec 2026</t>
  </si>
  <si>
    <t xml:space="preserve">TOTAL 2026</t>
  </si>
  <si>
    <t xml:space="preserve">Sources (exported 8 Oct 2026, period 1 Jan – 30 Sep 2026):</t>
  </si>
  <si>
    <t xml:space="preserve">• Meta: 'Plug and Play Tech Center – Dollars' ad account (the only active account), 'Amount spent (USD)'.</t>
  </si>
  <si>
    <t xml:space="preserve">• Google Ads: Campaign report, 'Cost' (EUR), monthly account totals.</t>
  </si>
  <si>
    <t xml:space="preserve">• ChatGPT Ads: 'Test 1' campaign, 23 Sep – 2 Oct 2026, €229.56 total. Put in September; the last ~2 days may belong to October.</t>
  </si>
  <si>
    <t xml:space="preserve">Spend by Territory – Jan to Sep 2026 (for reference only)</t>
  </si>
  <si>
    <t xml:space="preserve">For information only. Source: the 2026_09_Spend_breakdown_per_location file that was shared internally (origin unknown). The official numbers are on the Summary tab.</t>
  </si>
  <si>
    <t xml:space="preserve">Territory</t>
  </si>
  <si>
    <t xml:space="preserve">Google</t>
  </si>
  <si>
    <t xml:space="preserve">Total spent</t>
  </si>
  <si>
    <t xml:space="preserve">Territory budget</t>
  </si>
  <si>
    <t xml:space="preserve">California</t>
  </si>
  <si>
    <t xml:space="preserve">New York</t>
  </si>
  <si>
    <t xml:space="preserve">New Jersey</t>
  </si>
  <si>
    <t xml:space="preserve">Washington DC</t>
  </si>
  <si>
    <t xml:space="preserve">Texas</t>
  </si>
  <si>
    <t xml:space="preserve">Florida</t>
  </si>
  <si>
    <t xml:space="preserve">Arizona</t>
  </si>
  <si>
    <t xml:space="preserve">Indiana</t>
  </si>
  <si>
    <t xml:space="preserve">Global Americas</t>
  </si>
  <si>
    <t xml:space="preserve">UK</t>
  </si>
  <si>
    <t xml:space="preserve">France</t>
  </si>
  <si>
    <t xml:space="preserve">Italy</t>
  </si>
  <si>
    <t xml:space="preserve">Middle East</t>
  </si>
  <si>
    <t xml:space="preserve">Global EMEA</t>
  </si>
  <si>
    <t xml:space="preserve">TOTAL</t>
  </si>
  <si>
    <t xml:space="preserve">Red = over its territory budget. These territory budgets add up to $294,676, which doesn't match the platform budgets, and its totals don't match the platform exports (Meta $167,062 vs $178,067; Google 82,856 vs €89,718).</t>
  </si>
  <si>
    <t xml:space="preserve">How to update this sheet</t>
  </si>
  <si>
    <t xml:space="preserve">1. Export each platform's spend broken down by month.</t>
  </si>
  <si>
    <t xml:space="preserve">2. Type each month's amount into the yellow cells on the 'Monthly Spend' tab.</t>
  </si>
  <si>
    <t xml:space="preserve">   • Meta → 'Meta (USD)'   • Google → 'Google Ads (EUR)'   • ChatGPT → 'ChatGPT Ads (EUR)'  – the sheet converts EUR to USD by itself</t>
  </si>
  <si>
    <t xml:space="preserve">3. Change 'Data up to' on the Summary tab (and the EUR → USD rate if Finance gives you a new one).</t>
  </si>
  <si>
    <t xml:space="preserve">4. Everything else (quarters, totals, budget left) updates by itself.</t>
  </si>
  <si>
    <t xml:space="preserve">Colour key:  yellow cell = you type here  ·  red = 90%+ of budget spent or over budget</t>
  </si>
  <si>
    <t xml:space="preserve">Assumptions</t>
  </si>
  <si>
    <t xml:space="preserve">• 2026 budget: Meta $180,000 (USD) + Google €90,000 (EUR). Shown in USD on the Summary. Stretch to $350,000 under discussion, not approved.</t>
  </si>
  <si>
    <t xml:space="preserve">• ChatGPT Ads is paid outside the Meta + Google budget.</t>
  </si>
  <si>
    <t xml:space="preserve">• Last quarter = Q3 2026 (July–September).</t>
  </si>
  <si>
    <t xml:space="preserve">• Meta is billed in USD. Google Ads and ChatGPT Ads are billed in EUR → converted at the rate on the Summary tab (B3).</t>
  </si>
  <si>
    <t xml:space="preserve">• Spend = 'Amount spent' (Meta) / 'Cost' (Google) as reported by the platform, before tax.</t>
  </si>
  <si>
    <t xml:space="preserve">• The 'By Territory' tab comes from a file of unknown origin and is for reference only.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</si>
</sst>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&quot;, &quot;yyyy"/>
    <numFmt numFmtId="166" formatCode="0.00"/>
    <numFmt numFmtId="167" formatCode="\€#,##0;&quot;-€&quot;#,##0;\-"/>
    <numFmt numFmtId="168" formatCode="\$#,##0;&quot;-$&quot;#,##0;\-"/>
    <numFmt numFmtId="169" formatCode="0%;\-0%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46295</v>
      </c>
    </row>
    <row r="3" customFormat="false" ht="15" hidden="false" customHeight="false" outlineLevel="0" collapsed="false">
      <c r="A3" s="2" t="s">
        <v>2</v>
      </c>
      <c r="B3" s="4" t="n">
        <v>1.16</v>
      </c>
      <c r="C3" s="5" t="s">
        <v>3</v>
      </c>
    </row>
    <row r="4" customFormat="false" ht="15" hidden="false" customHeight="false" outlineLevel="0" collapsed="false">
      <c r="A4" s="2" t="s">
        <v>4</v>
      </c>
      <c r="B4" s="6" t="n">
        <v>90000</v>
      </c>
      <c r="C4" s="7" t="s">
        <v>5</v>
      </c>
    </row>
    <row r="5" customFormat="false" ht="15" hidden="false" customHeight="false" outlineLevel="0" collapsed="false">
      <c r="A5" s="8" t="s">
        <v>6</v>
      </c>
    </row>
    <row r="6" customFormat="false" ht="31.5" hidden="false" customHeight="true" outlineLevel="0" collapsed="false">
      <c r="A6" s="9" t="s">
        <v>7</v>
      </c>
      <c r="B6" s="9" t="s">
        <v>8</v>
      </c>
      <c r="C6" s="9" t="s">
        <v>9</v>
      </c>
      <c r="D6" s="9" t="s">
        <v>10</v>
      </c>
      <c r="E6" s="9" t="s">
        <v>11</v>
      </c>
      <c r="F6" s="9" t="s">
        <v>12</v>
      </c>
      <c r="G6" s="9" t="s">
        <v>13</v>
      </c>
      <c r="H6" s="9" t="s">
        <v>14</v>
      </c>
      <c r="I6" s="9" t="s">
        <v>15</v>
      </c>
    </row>
    <row r="7" customFormat="false" ht="15" hidden="false" customHeight="false" outlineLevel="0" collapsed="false">
      <c r="A7" s="10" t="s">
        <v>16</v>
      </c>
      <c r="B7" s="11" t="n">
        <v>180000</v>
      </c>
      <c r="C7" s="12" t="n">
        <f aca="false">SUM('Monthly Spend'!C5:C7)</f>
        <v>75432.1</v>
      </c>
      <c r="D7" s="12" t="n">
        <f aca="false">SUM('Monthly Spend'!C8:C10)</f>
        <v>61971.35</v>
      </c>
      <c r="E7" s="13" t="n">
        <f aca="false">SUM('Monthly Spend'!C11:C13)</f>
        <v>40663.58</v>
      </c>
      <c r="F7" s="12" t="n">
        <f aca="false">SUM('Monthly Spend'!C14:C16)</f>
        <v>0</v>
      </c>
      <c r="G7" s="14" t="n">
        <f aca="false">SUM(C7:F7)</f>
        <v>178067.03</v>
      </c>
      <c r="H7" s="12" t="n">
        <f aca="false">IF(B7="","",B7-G7)</f>
        <v>1932.96999999997</v>
      </c>
      <c r="I7" s="15" t="n">
        <f aca="false">IF(B7="","",G7/B7)</f>
        <v>0.989261277777778</v>
      </c>
    </row>
    <row r="8" customFormat="false" ht="15" hidden="false" customHeight="false" outlineLevel="0" collapsed="false">
      <c r="A8" s="10" t="s">
        <v>17</v>
      </c>
      <c r="B8" s="16" t="n">
        <f aca="false">B4*B3</f>
        <v>104400</v>
      </c>
      <c r="C8" s="12" t="n">
        <f aca="false">SUM('Monthly Spend'!D5:D7)*Summary!$B$3</f>
        <v>33248.906</v>
      </c>
      <c r="D8" s="12" t="n">
        <f aca="false">SUM('Monthly Spend'!D8:D10)*Summary!$B$3</f>
        <v>37354.4244</v>
      </c>
      <c r="E8" s="13" t="n">
        <f aca="false">SUM('Monthly Spend'!D11:D13)*Summary!$B$3</f>
        <v>33469.4684</v>
      </c>
      <c r="F8" s="12" t="n">
        <f aca="false">SUM('Monthly Spend'!D14:D16)*Summary!$B$3</f>
        <v>0</v>
      </c>
      <c r="G8" s="14" t="n">
        <f aca="false">SUM(C8:F8)</f>
        <v>104072.7988</v>
      </c>
      <c r="H8" s="12" t="n">
        <f aca="false">IF(B8="","",B8-G8)</f>
        <v>327.20120000001</v>
      </c>
      <c r="I8" s="15" t="n">
        <f aca="false">IF(B8="","",G8/B8)</f>
        <v>0.996865888888889</v>
      </c>
    </row>
    <row r="9" customFormat="false" ht="15" hidden="false" customHeight="false" outlineLevel="0" collapsed="false">
      <c r="A9" s="17" t="s">
        <v>18</v>
      </c>
      <c r="B9" s="18" t="n">
        <f aca="false">SUM(B7:B8)</f>
        <v>284400</v>
      </c>
      <c r="C9" s="18" t="n">
        <f aca="false">SUM(C7:C8)</f>
        <v>108681.006</v>
      </c>
      <c r="D9" s="18" t="n">
        <f aca="false">SUM(D7:D8)</f>
        <v>99325.7744</v>
      </c>
      <c r="E9" s="18" t="n">
        <f aca="false">SUM(E7:E8)</f>
        <v>74133.0484</v>
      </c>
      <c r="F9" s="18" t="n">
        <f aca="false">SUM(F7:F8)</f>
        <v>0</v>
      </c>
      <c r="G9" s="18" t="n">
        <f aca="false">SUM(G7:G8)</f>
        <v>282139.8288</v>
      </c>
      <c r="H9" s="18" t="n">
        <f aca="false">SUM(H7:H8)</f>
        <v>2260.17119999998</v>
      </c>
      <c r="I9" s="19" t="n">
        <f aca="false">IF(B9=0,"",G9/B9)</f>
        <v>0.992052843881857</v>
      </c>
    </row>
    <row r="11" customFormat="false" ht="15" hidden="false" customHeight="false" outlineLevel="0" collapsed="false">
      <c r="A11" s="10" t="s">
        <v>19</v>
      </c>
      <c r="B11" s="20"/>
      <c r="C11" s="12" t="n">
        <f aca="false">SUM('Monthly Spend'!E5:E7)*Summary!$B$3</f>
        <v>0</v>
      </c>
      <c r="D11" s="12" t="n">
        <f aca="false">SUM('Monthly Spend'!E8:E10)*Summary!$B$3</f>
        <v>0</v>
      </c>
      <c r="E11" s="13" t="n">
        <f aca="false">SUM('Monthly Spend'!E11:E13)*Summary!$B$3</f>
        <v>266.2896</v>
      </c>
      <c r="F11" s="12" t="n">
        <f aca="false">SUM('Monthly Spend'!E14:E16)*Summary!$B$3</f>
        <v>0</v>
      </c>
      <c r="G11" s="14" t="n">
        <f aca="false">SUM(C11:F11)</f>
        <v>266.2896</v>
      </c>
      <c r="H11" s="12" t="str">
        <f aca="false">IF(B11="","",B11-G11)</f>
        <v/>
      </c>
      <c r="I11" s="15" t="str">
        <f aca="false">IF(B11="","",G11/B11)</f>
        <v/>
      </c>
    </row>
    <row r="12" customFormat="false" ht="15" hidden="false" customHeight="false" outlineLevel="0" collapsed="false">
      <c r="A12" s="17" t="s">
        <v>20</v>
      </c>
      <c r="B12" s="21"/>
      <c r="C12" s="18" t="n">
        <f aca="false">C9+C11</f>
        <v>108681.006</v>
      </c>
      <c r="D12" s="18" t="n">
        <f aca="false">D9+D11</f>
        <v>99325.7744</v>
      </c>
      <c r="E12" s="18" t="n">
        <f aca="false">E9+E11</f>
        <v>74399.338</v>
      </c>
      <c r="F12" s="18" t="n">
        <f aca="false">F9+F11</f>
        <v>0</v>
      </c>
      <c r="G12" s="18" t="n">
        <f aca="false">G9+G11</f>
        <v>282406.1184</v>
      </c>
      <c r="H12" s="21"/>
      <c r="I12" s="21"/>
    </row>
    <row r="13" customFormat="false" ht="15" hidden="false" customHeight="false" outlineLevel="0" collapsed="false">
      <c r="A13" s="7" t="s">
        <v>21</v>
      </c>
    </row>
    <row r="15" customFormat="false" ht="15" hidden="false" customHeight="false" outlineLevel="0" collapsed="false">
      <c r="A15" s="8" t="s">
        <v>22</v>
      </c>
    </row>
    <row r="16" customFormat="false" ht="15" hidden="false" customHeight="false" outlineLevel="0" collapsed="false">
      <c r="A16" s="10" t="s">
        <v>23</v>
      </c>
      <c r="B16" s="14" t="n">
        <f aca="false">E12</f>
        <v>74399.338</v>
      </c>
    </row>
    <row r="17" customFormat="false" ht="15" hidden="false" customHeight="false" outlineLevel="0" collapsed="false">
      <c r="A17" s="10" t="s">
        <v>24</v>
      </c>
      <c r="B17" s="14" t="n">
        <f aca="false">G12</f>
        <v>282406.1184</v>
      </c>
    </row>
    <row r="18" customFormat="false" ht="15" hidden="false" customHeight="false" outlineLevel="0" collapsed="false">
      <c r="A18" s="10" t="s">
        <v>25</v>
      </c>
      <c r="B18" s="14" t="n">
        <f aca="false">B9</f>
        <v>284400</v>
      </c>
    </row>
    <row r="19" customFormat="false" ht="15" hidden="false" customHeight="false" outlineLevel="0" collapsed="false">
      <c r="A19" s="10" t="s">
        <v>26</v>
      </c>
      <c r="B19" s="14" t="n">
        <f aca="false">H9</f>
        <v>2260.17119999998</v>
      </c>
    </row>
    <row r="20" customFormat="false" ht="15" hidden="false" customHeight="false" outlineLevel="0" collapsed="false">
      <c r="A20" s="10" t="s">
        <v>27</v>
      </c>
      <c r="B20" s="22" t="n">
        <v>350000</v>
      </c>
    </row>
    <row r="21" customFormat="false" ht="15" hidden="false" customHeight="false" outlineLevel="0" collapsed="false">
      <c r="A21" s="10" t="s">
        <v>28</v>
      </c>
      <c r="B21" s="14" t="n">
        <f aca="false">B20-G9</f>
        <v>67860.1712</v>
      </c>
    </row>
    <row r="22" customFormat="false" ht="15" hidden="false" customHeight="false" outlineLevel="0" collapsed="false">
      <c r="A22" s="10" t="s">
        <v>29</v>
      </c>
      <c r="B22" s="23" t="n">
        <f aca="false">'Monthly Spend'!D17</f>
        <v>89717.93</v>
      </c>
    </row>
    <row r="23" customFormat="false" ht="15" hidden="false" customHeight="false" outlineLevel="0" collapsed="false">
      <c r="A23" s="10" t="s">
        <v>30</v>
      </c>
      <c r="B23" s="23" t="n">
        <f aca="false">B4-'Monthly Spend'!D17</f>
        <v>282.070000000007</v>
      </c>
    </row>
    <row r="24" customFormat="false" ht="15" hidden="false" customHeight="false" outlineLevel="0" collapsed="false">
      <c r="A24" s="7" t="s">
        <v>31</v>
      </c>
    </row>
  </sheetData>
  <conditionalFormatting sqref="I7:I11">
    <cfRule type="cellIs" priority="2" operator="greaterThanOrEqual" aboveAverage="0" equalAverage="0" bottom="0" percent="0" rank="0" text="" dxfId="0">
      <formula>0.9</formula>
    </cfRule>
  </conditionalFormatting>
  <conditionalFormatting sqref="H7:H11">
    <cfRule type="cellIs" priority="3" operator="lessThan" aboveAverage="0" equalAverage="0" bottom="0" percent="0" rank="0" text="" dxfId="0">
      <formula>0</formula>
    </cfRule>
  </conditionalFormatting>
  <conditionalFormatting sqref="B19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7" t="s">
        <v>33</v>
      </c>
    </row>
    <row r="4" customFormat="false" ht="31.5" hidden="false" customHeight="true" outlineLevel="0" collapsed="false">
      <c r="A4" s="9" t="s">
        <v>34</v>
      </c>
      <c r="B4" s="9" t="s">
        <v>35</v>
      </c>
      <c r="C4" s="9" t="s">
        <v>36</v>
      </c>
      <c r="D4" s="9" t="s">
        <v>37</v>
      </c>
      <c r="E4" s="9" t="s">
        <v>38</v>
      </c>
      <c r="F4" s="9" t="s">
        <v>39</v>
      </c>
    </row>
    <row r="5" customFormat="false" ht="15" hidden="false" customHeight="false" outlineLevel="0" collapsed="false">
      <c r="A5" s="10" t="s">
        <v>40</v>
      </c>
      <c r="B5" s="24" t="s">
        <v>41</v>
      </c>
      <c r="C5" s="11" t="n">
        <v>8092.51</v>
      </c>
      <c r="D5" s="6" t="n">
        <v>9697.47</v>
      </c>
      <c r="E5" s="6"/>
      <c r="F5" s="14" t="n">
        <f aca="false">C5+(D5+E5)*Summary!$B$3</f>
        <v>19341.5752</v>
      </c>
    </row>
    <row r="6" customFormat="false" ht="15" hidden="false" customHeight="false" outlineLevel="0" collapsed="false">
      <c r="A6" s="10" t="s">
        <v>42</v>
      </c>
      <c r="B6" s="24" t="s">
        <v>41</v>
      </c>
      <c r="C6" s="11" t="n">
        <v>28952.75</v>
      </c>
      <c r="D6" s="6" t="n">
        <v>9917.15</v>
      </c>
      <c r="E6" s="6"/>
      <c r="F6" s="14" t="n">
        <f aca="false">C6+(D6+E6)*Summary!$B$3</f>
        <v>40456.644</v>
      </c>
    </row>
    <row r="7" customFormat="false" ht="15" hidden="false" customHeight="false" outlineLevel="0" collapsed="false">
      <c r="A7" s="10" t="s">
        <v>43</v>
      </c>
      <c r="B7" s="24" t="s">
        <v>41</v>
      </c>
      <c r="C7" s="11" t="n">
        <v>38386.84</v>
      </c>
      <c r="D7" s="6" t="n">
        <v>9048.23</v>
      </c>
      <c r="E7" s="6"/>
      <c r="F7" s="14" t="n">
        <f aca="false">C7+(D7+E7)*Summary!$B$3</f>
        <v>48882.7868</v>
      </c>
    </row>
    <row r="8" customFormat="false" ht="15" hidden="false" customHeight="false" outlineLevel="0" collapsed="false">
      <c r="A8" s="10" t="s">
        <v>44</v>
      </c>
      <c r="B8" s="24" t="s">
        <v>45</v>
      </c>
      <c r="C8" s="11" t="n">
        <v>22241.56</v>
      </c>
      <c r="D8" s="6" t="n">
        <v>8922.13</v>
      </c>
      <c r="E8" s="6"/>
      <c r="F8" s="14" t="n">
        <f aca="false">C8+(D8+E8)*Summary!$B$3</f>
        <v>32591.2308</v>
      </c>
    </row>
    <row r="9" customFormat="false" ht="15" hidden="false" customHeight="false" outlineLevel="0" collapsed="false">
      <c r="A9" s="10" t="s">
        <v>46</v>
      </c>
      <c r="B9" s="24" t="s">
        <v>45</v>
      </c>
      <c r="C9" s="11" t="n">
        <v>22276.5</v>
      </c>
      <c r="D9" s="6" t="n">
        <v>10793.26</v>
      </c>
      <c r="E9" s="6"/>
      <c r="F9" s="14" t="n">
        <f aca="false">C9+(D9+E9)*Summary!$B$3</f>
        <v>34796.6816</v>
      </c>
    </row>
    <row r="10" customFormat="false" ht="15" hidden="false" customHeight="false" outlineLevel="0" collapsed="false">
      <c r="A10" s="10" t="s">
        <v>47</v>
      </c>
      <c r="B10" s="24" t="s">
        <v>45</v>
      </c>
      <c r="C10" s="11" t="n">
        <v>17453.29</v>
      </c>
      <c r="D10" s="6" t="n">
        <v>12486.7</v>
      </c>
      <c r="E10" s="6"/>
      <c r="F10" s="14" t="n">
        <f aca="false">C10+(D10+E10)*Summary!$B$3</f>
        <v>31937.862</v>
      </c>
    </row>
    <row r="11" customFormat="false" ht="15" hidden="false" customHeight="false" outlineLevel="0" collapsed="false">
      <c r="A11" s="10" t="s">
        <v>48</v>
      </c>
      <c r="B11" s="24" t="s">
        <v>49</v>
      </c>
      <c r="C11" s="11" t="n">
        <v>18956.66</v>
      </c>
      <c r="D11" s="6" t="n">
        <v>11763.61</v>
      </c>
      <c r="E11" s="6"/>
      <c r="F11" s="14" t="n">
        <f aca="false">C11+(D11+E11)*Summary!$B$3</f>
        <v>32602.4476</v>
      </c>
    </row>
    <row r="12" customFormat="false" ht="15" hidden="false" customHeight="false" outlineLevel="0" collapsed="false">
      <c r="A12" s="10" t="s">
        <v>50</v>
      </c>
      <c r="B12" s="24" t="s">
        <v>49</v>
      </c>
      <c r="C12" s="11" t="n">
        <v>10643.94</v>
      </c>
      <c r="D12" s="6" t="n">
        <v>10956.93</v>
      </c>
      <c r="E12" s="6"/>
      <c r="F12" s="14" t="n">
        <f aca="false">C12+(D12+E12)*Summary!$B$3</f>
        <v>23353.9788</v>
      </c>
    </row>
    <row r="13" customFormat="false" ht="15" hidden="false" customHeight="false" outlineLevel="0" collapsed="false">
      <c r="A13" s="10" t="s">
        <v>51</v>
      </c>
      <c r="B13" s="24" t="s">
        <v>49</v>
      </c>
      <c r="C13" s="11" t="n">
        <v>11062.98</v>
      </c>
      <c r="D13" s="6" t="n">
        <v>6132.45</v>
      </c>
      <c r="E13" s="6" t="n">
        <v>229.56</v>
      </c>
      <c r="F13" s="14" t="n">
        <f aca="false">C13+(D13+E13)*Summary!$B$3</f>
        <v>18442.9116</v>
      </c>
    </row>
    <row r="14" customFormat="false" ht="15" hidden="false" customHeight="false" outlineLevel="0" collapsed="false">
      <c r="A14" s="10" t="s">
        <v>52</v>
      </c>
      <c r="B14" s="24" t="s">
        <v>53</v>
      </c>
      <c r="C14" s="11"/>
      <c r="D14" s="6"/>
      <c r="E14" s="6"/>
      <c r="F14" s="14" t="n">
        <f aca="false">C14+(D14+E14)*Summary!$B$3</f>
        <v>0</v>
      </c>
    </row>
    <row r="15" customFormat="false" ht="15" hidden="false" customHeight="false" outlineLevel="0" collapsed="false">
      <c r="A15" s="10" t="s">
        <v>54</v>
      </c>
      <c r="B15" s="24" t="s">
        <v>53</v>
      </c>
      <c r="C15" s="11"/>
      <c r="D15" s="6"/>
      <c r="E15" s="6"/>
      <c r="F15" s="14" t="n">
        <f aca="false">C15+(D15+E15)*Summary!$B$3</f>
        <v>0</v>
      </c>
    </row>
    <row r="16" customFormat="false" ht="15" hidden="false" customHeight="false" outlineLevel="0" collapsed="false">
      <c r="A16" s="10" t="s">
        <v>55</v>
      </c>
      <c r="B16" s="24" t="s">
        <v>53</v>
      </c>
      <c r="C16" s="11"/>
      <c r="D16" s="6"/>
      <c r="E16" s="6"/>
      <c r="F16" s="14" t="n">
        <f aca="false">C16+(D16+E16)*Summary!$B$3</f>
        <v>0</v>
      </c>
    </row>
    <row r="17" customFormat="false" ht="15" hidden="false" customHeight="false" outlineLevel="0" collapsed="false">
      <c r="A17" s="17" t="s">
        <v>56</v>
      </c>
      <c r="B17" s="21"/>
      <c r="C17" s="18" t="n">
        <f aca="false">SUM(C5:C16)</f>
        <v>178067.03</v>
      </c>
      <c r="D17" s="25" t="n">
        <f aca="false">SUM(D5:D16)</f>
        <v>89717.93</v>
      </c>
      <c r="E17" s="25" t="n">
        <f aca="false">SUM(E5:E16)</f>
        <v>229.56</v>
      </c>
      <c r="F17" s="18" t="n">
        <f aca="false">SUM(F5:F16)</f>
        <v>282406.1184</v>
      </c>
    </row>
    <row r="19" customFormat="false" ht="15" hidden="false" customHeight="false" outlineLevel="0" collapsed="false">
      <c r="A19" s="7" t="s">
        <v>57</v>
      </c>
    </row>
    <row r="20" customFormat="false" ht="15" hidden="false" customHeight="false" outlineLevel="0" collapsed="false">
      <c r="A20" s="7" t="s">
        <v>58</v>
      </c>
    </row>
    <row r="21" customFormat="false" ht="15" hidden="false" customHeight="false" outlineLevel="0" collapsed="false">
      <c r="A21" s="7" t="s">
        <v>59</v>
      </c>
    </row>
    <row r="22" customFormat="false" ht="15" hidden="false" customHeight="false" outlineLevel="0" collapsed="false">
      <c r="A22" s="7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61</v>
      </c>
    </row>
    <row r="2" customFormat="false" ht="15" hidden="false" customHeight="false" outlineLevel="0" collapsed="false">
      <c r="A2" s="5" t="s">
        <v>62</v>
      </c>
    </row>
    <row r="4" customFormat="false" ht="31.5" hidden="false" customHeight="true" outlineLevel="0" collapsed="false">
      <c r="A4" s="9" t="s">
        <v>63</v>
      </c>
      <c r="B4" s="9" t="s">
        <v>16</v>
      </c>
      <c r="C4" s="9" t="s">
        <v>64</v>
      </c>
      <c r="D4" s="9" t="s">
        <v>65</v>
      </c>
      <c r="E4" s="9" t="s">
        <v>66</v>
      </c>
      <c r="F4" s="9" t="s">
        <v>15</v>
      </c>
    </row>
    <row r="5" customFormat="false" ht="15" hidden="false" customHeight="false" outlineLevel="0" collapsed="false">
      <c r="A5" s="10" t="s">
        <v>67</v>
      </c>
      <c r="B5" s="20" t="n">
        <v>17825.83</v>
      </c>
      <c r="C5" s="20" t="n">
        <v>10450.84</v>
      </c>
      <c r="D5" s="14" t="n">
        <f aca="false">B5+C5</f>
        <v>28276.67</v>
      </c>
      <c r="E5" s="20" t="n">
        <v>26630.37</v>
      </c>
      <c r="F5" s="15" t="n">
        <f aca="false">IF(E5&gt;0,D5/E5,"")</f>
        <v>1.06182039528553</v>
      </c>
    </row>
    <row r="6" customFormat="false" ht="15" hidden="false" customHeight="false" outlineLevel="0" collapsed="false">
      <c r="A6" s="10" t="s">
        <v>68</v>
      </c>
      <c r="B6" s="20" t="n">
        <v>8520.2</v>
      </c>
      <c r="C6" s="20" t="n">
        <v>6026.61</v>
      </c>
      <c r="D6" s="14" t="n">
        <f aca="false">B6+C6</f>
        <v>14546.81</v>
      </c>
      <c r="E6" s="20" t="n">
        <v>29658.15</v>
      </c>
      <c r="F6" s="15" t="n">
        <f aca="false">IF(E6&gt;0,D6/E6,"")</f>
        <v>0.490482717229497</v>
      </c>
    </row>
    <row r="7" customFormat="false" ht="15" hidden="false" customHeight="false" outlineLevel="0" collapsed="false">
      <c r="A7" s="10" t="s">
        <v>69</v>
      </c>
      <c r="B7" s="20" t="n">
        <v>8991.05</v>
      </c>
      <c r="C7" s="20" t="n">
        <v>3029.5</v>
      </c>
      <c r="D7" s="14" t="n">
        <f aca="false">B7+C7</f>
        <v>12020.55</v>
      </c>
      <c r="E7" s="20" t="n">
        <v>22995.72</v>
      </c>
      <c r="F7" s="15" t="n">
        <f aca="false">IF(E7&gt;0,D7/E7,"")</f>
        <v>0.52272988190846</v>
      </c>
    </row>
    <row r="8" customFormat="false" ht="15" hidden="false" customHeight="false" outlineLevel="0" collapsed="false">
      <c r="A8" s="10" t="s">
        <v>70</v>
      </c>
      <c r="B8" s="20" t="n">
        <v>7474.3</v>
      </c>
      <c r="C8" s="20" t="n">
        <v>1468.47</v>
      </c>
      <c r="D8" s="14" t="n">
        <f aca="false">B8+C8</f>
        <v>8942.77</v>
      </c>
      <c r="E8" s="20" t="n">
        <v>13663.52</v>
      </c>
      <c r="F8" s="15" t="n">
        <f aca="false">IF(E8&gt;0,D8/E8,"")</f>
        <v>0.654499718959682</v>
      </c>
    </row>
    <row r="9" customFormat="false" ht="15" hidden="false" customHeight="false" outlineLevel="0" collapsed="false">
      <c r="A9" s="10" t="s">
        <v>71</v>
      </c>
      <c r="B9" s="20" t="n">
        <v>5738.34</v>
      </c>
      <c r="C9" s="20" t="n">
        <v>5775.01</v>
      </c>
      <c r="D9" s="14" t="n">
        <f aca="false">B9+C9</f>
        <v>11513.35</v>
      </c>
      <c r="E9" s="20" t="n">
        <v>22327.18</v>
      </c>
      <c r="F9" s="15" t="n">
        <f aca="false">IF(E9&gt;0,D9/E9,"")</f>
        <v>0.515665211638908</v>
      </c>
    </row>
    <row r="10" customFormat="false" ht="15" hidden="false" customHeight="false" outlineLevel="0" collapsed="false">
      <c r="A10" s="10" t="s">
        <v>72</v>
      </c>
      <c r="B10" s="20" t="n">
        <v>5475.19</v>
      </c>
      <c r="C10" s="20" t="n">
        <v>5942.62</v>
      </c>
      <c r="D10" s="14" t="n">
        <f aca="false">B10+C10</f>
        <v>11417.81</v>
      </c>
      <c r="E10" s="20" t="n">
        <v>21992</v>
      </c>
      <c r="F10" s="15" t="n">
        <f aca="false">IF(E10&gt;0,D10/E10,"")</f>
        <v>0.519180156420517</v>
      </c>
    </row>
    <row r="11" customFormat="false" ht="15" hidden="false" customHeight="false" outlineLevel="0" collapsed="false">
      <c r="A11" s="10" t="s">
        <v>73</v>
      </c>
      <c r="B11" s="20" t="n">
        <v>4435.23</v>
      </c>
      <c r="C11" s="20" t="n">
        <v>1951.21</v>
      </c>
      <c r="D11" s="14" t="n">
        <f aca="false">B11+C11</f>
        <v>6386.44</v>
      </c>
      <c r="E11" s="20" t="n">
        <v>15328.36</v>
      </c>
      <c r="F11" s="15" t="n">
        <f aca="false">IF(E11&gt;0,D11/E11,"")</f>
        <v>0.416642093479015</v>
      </c>
    </row>
    <row r="12" customFormat="false" ht="15" hidden="false" customHeight="false" outlineLevel="0" collapsed="false">
      <c r="A12" s="10" t="s">
        <v>74</v>
      </c>
      <c r="B12" s="20" t="n">
        <v>4722.59</v>
      </c>
      <c r="C12" s="20" t="n">
        <v>1754.38</v>
      </c>
      <c r="D12" s="14" t="n">
        <f aca="false">B12+C12</f>
        <v>6476.97</v>
      </c>
      <c r="E12" s="20" t="n">
        <v>13663.52</v>
      </c>
      <c r="F12" s="15" t="n">
        <f aca="false">IF(E12&gt;0,D12/E12,"")</f>
        <v>0.474033777533169</v>
      </c>
    </row>
    <row r="13" customFormat="false" ht="15" hidden="false" customHeight="false" outlineLevel="0" collapsed="false">
      <c r="A13" s="10" t="s">
        <v>75</v>
      </c>
      <c r="B13" s="20" t="n">
        <v>29802.24</v>
      </c>
      <c r="C13" s="20" t="n">
        <v>17655.01</v>
      </c>
      <c r="D13" s="14" t="n">
        <f aca="false">B13+C13</f>
        <v>47457.25</v>
      </c>
      <c r="E13" s="20" t="n">
        <v>27967.45</v>
      </c>
      <c r="F13" s="15" t="n">
        <f aca="false">IF(E13&gt;0,D13/E13,"")</f>
        <v>1.69687440220685</v>
      </c>
    </row>
    <row r="14" customFormat="false" ht="15" hidden="false" customHeight="false" outlineLevel="0" collapsed="false">
      <c r="A14" s="10" t="s">
        <v>76</v>
      </c>
      <c r="B14" s="20" t="n">
        <v>14033.47</v>
      </c>
      <c r="C14" s="20" t="n">
        <v>4412.69</v>
      </c>
      <c r="D14" s="14" t="n">
        <f aca="false">B14+C14</f>
        <v>18446.16</v>
      </c>
      <c r="E14" s="20" t="n">
        <v>22327.06</v>
      </c>
      <c r="F14" s="15" t="n">
        <f aca="false">IF(E14&gt;0,D14/E14,"")</f>
        <v>0.826179532818024</v>
      </c>
    </row>
    <row r="15" customFormat="false" ht="15" hidden="false" customHeight="false" outlineLevel="0" collapsed="false">
      <c r="A15" s="10" t="s">
        <v>77</v>
      </c>
      <c r="B15" s="20" t="n">
        <v>13603.69</v>
      </c>
      <c r="C15" s="20" t="n">
        <v>4415.75</v>
      </c>
      <c r="D15" s="14" t="n">
        <f aca="false">B15+C15</f>
        <v>18019.44</v>
      </c>
      <c r="E15" s="20" t="n">
        <v>22327.06</v>
      </c>
      <c r="F15" s="15" t="n">
        <f aca="false">IF(E15&gt;0,D15/E15,"")</f>
        <v>0.80706729860537</v>
      </c>
    </row>
    <row r="16" customFormat="false" ht="15" hidden="false" customHeight="false" outlineLevel="0" collapsed="false">
      <c r="A16" s="10" t="s">
        <v>78</v>
      </c>
      <c r="B16" s="20" t="n">
        <v>12132.84</v>
      </c>
      <c r="C16" s="20" t="n">
        <v>2356.54</v>
      </c>
      <c r="D16" s="14" t="n">
        <f aca="false">B16+C16</f>
        <v>14489.38</v>
      </c>
      <c r="E16" s="20" t="n">
        <v>18329.47</v>
      </c>
      <c r="F16" s="15" t="n">
        <f aca="false">IF(E16&gt;0,D16/E16,"")</f>
        <v>0.790496397331729</v>
      </c>
    </row>
    <row r="17" customFormat="false" ht="15" hidden="false" customHeight="false" outlineLevel="0" collapsed="false">
      <c r="A17" s="10" t="s">
        <v>79</v>
      </c>
      <c r="B17" s="20" t="n">
        <v>8893.59</v>
      </c>
      <c r="C17" s="20" t="n">
        <v>1522.89</v>
      </c>
      <c r="D17" s="14" t="n">
        <f aca="false">B17+C17</f>
        <v>10416.48</v>
      </c>
      <c r="E17" s="20" t="n">
        <v>9498.98</v>
      </c>
      <c r="F17" s="15" t="n">
        <f aca="false">IF(E17&gt;0,D17/E17,"")</f>
        <v>1.09658931801099</v>
      </c>
    </row>
    <row r="18" customFormat="false" ht="15" hidden="false" customHeight="false" outlineLevel="0" collapsed="false">
      <c r="A18" s="10" t="s">
        <v>80</v>
      </c>
      <c r="B18" s="20" t="n">
        <v>25413.03</v>
      </c>
      <c r="C18" s="20" t="n">
        <v>16094.63</v>
      </c>
      <c r="D18" s="14" t="n">
        <f aca="false">B18+C18</f>
        <v>41507.66</v>
      </c>
      <c r="E18" s="20" t="n">
        <v>27967.45</v>
      </c>
      <c r="F18" s="15" t="n">
        <f aca="false">IF(E18&gt;0,D18/E18,"")</f>
        <v>1.48414174334807</v>
      </c>
    </row>
    <row r="19" customFormat="false" ht="15" hidden="false" customHeight="false" outlineLevel="0" collapsed="false">
      <c r="A19" s="17" t="s">
        <v>81</v>
      </c>
      <c r="B19" s="18" t="n">
        <f aca="false">SUM(B5:B18)</f>
        <v>167061.59</v>
      </c>
      <c r="C19" s="18" t="n">
        <f aca="false">SUM(C5:C18)</f>
        <v>82856.15</v>
      </c>
      <c r="D19" s="18" t="n">
        <f aca="false">SUM(D5:D18)</f>
        <v>249917.74</v>
      </c>
      <c r="E19" s="18" t="n">
        <f aca="false">SUM(E5:E18)</f>
        <v>294676.29</v>
      </c>
      <c r="F19" s="19" t="n">
        <f aca="false">IF(E19&gt;0,D19/E19,"")</f>
        <v>0.848109428824423</v>
      </c>
    </row>
    <row r="20" customFormat="false" ht="15" hidden="false" customHeight="false" outlineLevel="0" collapsed="false">
      <c r="A20" s="7" t="s">
        <v>82</v>
      </c>
    </row>
  </sheetData>
  <conditionalFormatting sqref="F5:F19">
    <cfRule type="cellIs" priority="2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83</v>
      </c>
    </row>
    <row r="3" customFormat="false" ht="15" hidden="false" customHeight="false" outlineLevel="0" collapsed="false">
      <c r="A3" s="26" t="s">
        <v>84</v>
      </c>
    </row>
    <row r="4" customFormat="false" ht="15" hidden="false" customHeight="false" outlineLevel="0" collapsed="false">
      <c r="A4" s="26" t="s">
        <v>85</v>
      </c>
    </row>
    <row r="5" customFormat="false" ht="15" hidden="false" customHeight="false" outlineLevel="0" collapsed="false">
      <c r="A5" s="26" t="s">
        <v>86</v>
      </c>
    </row>
    <row r="6" customFormat="false" ht="15" hidden="false" customHeight="false" outlineLevel="0" collapsed="false">
      <c r="A6" s="26" t="s">
        <v>87</v>
      </c>
    </row>
    <row r="7" customFormat="false" ht="15" hidden="false" customHeight="false" outlineLevel="0" collapsed="false">
      <c r="A7" s="26" t="s">
        <v>88</v>
      </c>
    </row>
    <row r="8" customFormat="false" ht="15" hidden="false" customHeight="false" outlineLevel="0" collapsed="false">
      <c r="A8" s="26"/>
    </row>
    <row r="9" customFormat="false" ht="15" hidden="false" customHeight="false" outlineLevel="0" collapsed="false">
      <c r="A9" s="27" t="s">
        <v>89</v>
      </c>
    </row>
    <row r="10" customFormat="false" ht="15" hidden="false" customHeight="false" outlineLevel="0" collapsed="false">
      <c r="A10" s="26"/>
    </row>
    <row r="11" customFormat="false" ht="15" hidden="false" customHeight="false" outlineLevel="0" collapsed="false">
      <c r="A11" s="27" t="s">
        <v>90</v>
      </c>
    </row>
    <row r="12" customFormat="false" ht="15" hidden="false" customHeight="false" outlineLevel="0" collapsed="false">
      <c r="A12" s="26" t="s">
        <v>91</v>
      </c>
    </row>
    <row r="13" customFormat="false" ht="15" hidden="false" customHeight="false" outlineLevel="0" collapsed="false">
      <c r="A13" s="26" t="s">
        <v>92</v>
      </c>
    </row>
    <row r="14" customFormat="false" ht="15" hidden="false" customHeight="false" outlineLevel="0" collapsed="false">
      <c r="A14" s="26" t="s">
        <v>93</v>
      </c>
    </row>
    <row r="15" customFormat="false" ht="15" hidden="false" customHeight="false" outlineLevel="0" collapsed="false">
      <c r="A15" s="26" t="s">
        <v>94</v>
      </c>
    </row>
    <row r="16" customFormat="false" ht="15" hidden="false" customHeight="false" outlineLevel="0" collapsed="false">
      <c r="A16" s="26" t="s">
        <v>95</v>
      </c>
    </row>
    <row r="17" customFormat="false" ht="15" hidden="false" customHeight="false" outlineLevel="0" collapsed="false">
      <c r="A17" s="2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2026-10-08T08:38:42Z</dcterms:created>
  <dc:creator>openpyxl</dc:creator>
  <dc:description/>
  <dc:language>en-US</dc:language>
  <cp:lastModifiedBy/>
  <dcterms:modified xsi:type="dcterms:W3CDTF">2026-10-08T08:38:42Z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