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ly Spend" sheetId="2" state="visible" r:id="rId4"/>
    <sheet name="By Territory" sheetId="3" state="visible" r:id="rId5"/>
    <sheet name="Notes &amp; Data Reque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Meta Ads Manager &gt; Reports &gt; Breakdown: Time &gt; Month &gt; 'Amount spent'. Sum all ad accounts. Convert any non-USD account to USD.</t>
        </r>
      </text>
    </comment>
    <comment ref="D6" authorId="0">
      <text>
        <r>
          <rPr>
            <sz val="10"/>
            <rFont val="Arial"/>
            <family val="2"/>
          </rPr>
          <t xml:space="preserve">Google Ads &gt; Campaigns &gt; Segment: Time &gt; Month &gt; 'Cost'. Run at manager (MCC) level so all accounts are included.</t>
        </r>
      </text>
    </comment>
  </commentList>
</comments>
</file>

<file path=xl/sharedStrings.xml><?xml version="1.0" encoding="utf-8"?>
<sst xmlns="http://schemas.openxmlformats.org/spreadsheetml/2006/main" count="200" uniqueCount="161">
  <si>
    <t xml:space="preserve">Plug and Play – Paid Ads Spend Overview 2026</t>
  </si>
  <si>
    <t xml:space="preserve">Blue text / yellow cells = inputs you can edit. Black = formulas. Green = pulled from another tab.</t>
  </si>
  <si>
    <t xml:space="preserve">1. Budget inputs</t>
  </si>
  <si>
    <t xml:space="preserve">Setting</t>
  </si>
  <si>
    <t xml:space="preserve">Value</t>
  </si>
  <si>
    <t xml:space="preserve">Note</t>
  </si>
  <si>
    <t xml:space="preserve">Meta annual budget</t>
  </si>
  <si>
    <t xml:space="preserve">Given to Felipe as the 2026 Meta budget.</t>
  </si>
  <si>
    <t xml:space="preserve">Google annual budget</t>
  </si>
  <si>
    <t xml:space="preserve">Given to Felipe as the 2026 Google (Search) budget.</t>
  </si>
  <si>
    <t xml:space="preserve">LinkedIn annual budget</t>
  </si>
  <si>
    <t xml:space="preserve">Not live yet. Enter a number if it gets approved.</t>
  </si>
  <si>
    <t xml:space="preserve">ChatGPT Ads annual budget</t>
  </si>
  <si>
    <t xml:space="preserve">Enter if ChatGPT Ads has its own budget line.</t>
  </si>
  <si>
    <t xml:space="preserve">Stretch total budget (scenario)</t>
  </si>
  <si>
    <t xml:space="preserve">Possible stretch, still to be decided.</t>
  </si>
  <si>
    <t xml:space="preserve">Last month with closed data (1-12)</t>
  </si>
  <si>
    <t xml:space="preserve">9 = data through end of September. Change when you add October.</t>
  </si>
  <si>
    <t xml:space="preserve">2. Full year 2026: spend vs. budget (year to date)</t>
  </si>
  <si>
    <t xml:space="preserve">Platform</t>
  </si>
  <si>
    <t xml:space="preserve">Annual budget</t>
  </si>
  <si>
    <t xml:space="preserve">YTD spend</t>
  </si>
  <si>
    <t xml:space="preserve">Remaining budget</t>
  </si>
  <si>
    <t xml:space="preserve">% of budget used</t>
  </si>
  <si>
    <t xml:space="preserve">% of year elapsed</t>
  </si>
  <si>
    <t xml:space="preserve">Pacing</t>
  </si>
  <si>
    <t xml:space="preserve">Avg spend / month so far</t>
  </si>
  <si>
    <t xml:space="preserve">Budget left / month (rest of year)</t>
  </si>
  <si>
    <t xml:space="preserve">Source of YTD figure</t>
  </si>
  <si>
    <t xml:space="preserve">Meta</t>
  </si>
  <si>
    <t xml:space="preserve">Google</t>
  </si>
  <si>
    <t xml:space="preserve">LinkedIn</t>
  </si>
  <si>
    <t xml:space="preserve">ChatGPT</t>
  </si>
  <si>
    <t xml:space="preserve">TOTAL</t>
  </si>
  <si>
    <t xml:space="preserve">Pacing rule: 'Ahead' = more than 10% above where a straight-line budget should be at this point in the year; 'Behind' = more than 10% below.</t>
  </si>
  <si>
    <t xml:space="preserve">3. What's left for the rest of the year</t>
  </si>
  <si>
    <t xml:space="preserve">Scenario</t>
  </si>
  <si>
    <t xml:space="preserve">Total budget</t>
  </si>
  <si>
    <t xml:space="preserve">Remaining</t>
  </si>
  <si>
    <t xml:space="preserve">Months left</t>
  </si>
  <si>
    <t xml:space="preserve">Budget left / month</t>
  </si>
  <si>
    <t xml:space="preserve">vs. avg monthly spend so far</t>
  </si>
  <si>
    <t xml:space="preserve">Current budget (Meta + Google + other)</t>
  </si>
  <si>
    <t xml:space="preserve">Stretch budget</t>
  </si>
  <si>
    <t xml:space="preserve">Reading: a negative % in column G means you would need to spend LESS per month than you have on average so far to stay inside that budget.</t>
  </si>
  <si>
    <t xml:space="preserve">4. Spend by quarter (from Monthly Spend tab)  –  last quarter = Q3 (Jul–Sep 2026)</t>
  </si>
  <si>
    <t xml:space="preserve">Q1 (Jan–Mar)</t>
  </si>
  <si>
    <t xml:space="preserve">Q2 (Apr–Jun)</t>
  </si>
  <si>
    <t xml:space="preserve">Q3 (Jul–Sep)
LAST QUARTER</t>
  </si>
  <si>
    <t xml:space="preserve">Q4 (Oct–Dec)</t>
  </si>
  <si>
    <t xml:space="preserve">Full year total</t>
  </si>
  <si>
    <t xml:space="preserve">Quarterly budget</t>
  </si>
  <si>
    <t xml:space="preserve">Q3 % of quarterly budget</t>
  </si>
  <si>
    <t xml:space="preserve">Q3 share of spend</t>
  </si>
  <si>
    <t xml:space="preserve">This section fills in automatically once monthly exports are pasted into the 'Monthly Spend' tab. Until then it shows '-'.</t>
  </si>
  <si>
    <t xml:space="preserve">5. Territories at a glance (YTD, from territory report)</t>
  </si>
  <si>
    <t xml:space="preserve">Territory</t>
  </si>
  <si>
    <t xml:space="preserve">Total spend</t>
  </si>
  <si>
    <t xml:space="preserve">Territory budget</t>
  </si>
  <si>
    <t xml:space="preserve">% of budget</t>
  </si>
  <si>
    <t xml:space="preserve">Status</t>
  </si>
  <si>
    <t xml:space="preserve">Monthly Spend 2026 (actuals)</t>
  </si>
  <si>
    <t xml:space="preserve">Paste one number per month per platform from the Meta / Google exports (USD). Everything else recalculates.</t>
  </si>
  <si>
    <t xml:space="preserve">Yellow cells are inputs. Leave a month blank until its data is closed – don't type 0 for a month you haven't checked.</t>
  </si>
  <si>
    <t xml:space="preserve">#</t>
  </si>
  <si>
    <t xml:space="preserve">Quarter</t>
  </si>
  <si>
    <t xml:space="preserve">Total actual</t>
  </si>
  <si>
    <t xml:space="preserve">Monthly budget (1/12)</t>
  </si>
  <si>
    <t xml:space="preserve">Over / (under) budget</t>
  </si>
  <si>
    <t xml:space="preserve">Cumulative actual</t>
  </si>
  <si>
    <t xml:space="preserve">Cumulative budget</t>
  </si>
  <si>
    <t xml:space="preserve">Month</t>
  </si>
  <si>
    <t xml:space="preserve">Q1</t>
  </si>
  <si>
    <t xml:space="preserve">Jan 2026</t>
  </si>
  <si>
    <t xml:space="preserve">Feb 2026</t>
  </si>
  <si>
    <t xml:space="preserve">Mar 2026</t>
  </si>
  <si>
    <t xml:space="preserve">Q2</t>
  </si>
  <si>
    <t xml:space="preserve">Apr 2026</t>
  </si>
  <si>
    <t xml:space="preserve">May 2026</t>
  </si>
  <si>
    <t xml:space="preserve">Jun 2026</t>
  </si>
  <si>
    <t xml:space="preserve">Q3</t>
  </si>
  <si>
    <t xml:space="preserve">Jul 2026</t>
  </si>
  <si>
    <t xml:space="preserve">Aug 2026</t>
  </si>
  <si>
    <t xml:space="preserve">Sep 2026</t>
  </si>
  <si>
    <t xml:space="preserve">Q4</t>
  </si>
  <si>
    <t xml:space="preserve">Oct 2026</t>
  </si>
  <si>
    <t xml:space="preserve">Nov 2026</t>
  </si>
  <si>
    <t xml:space="preserve">Dec 2026</t>
  </si>
  <si>
    <t xml:space="preserve">Spend by Territory – 2026 YTD</t>
  </si>
  <si>
    <t xml:space="preserve">Source: '2026_09_Spend_breakdown_per_location.xlsx' (shared by Felipe). Assumed to cover Jan–Sep 2026; please confirm.</t>
  </si>
  <si>
    <t xml:space="preserve">Blue numbers are copied from that file. Totals and % are recalculated here (they match the file's own totals). Replace with fresh numbers when you have them.</t>
  </si>
  <si>
    <t xml:space="preserve">Share of total spend</t>
  </si>
  <si>
    <t xml:space="preserve">Meta share of territory</t>
  </si>
  <si>
    <t xml:space="preserve">California</t>
  </si>
  <si>
    <t xml:space="preserve">New York</t>
  </si>
  <si>
    <t xml:space="preserve">New Jersey</t>
  </si>
  <si>
    <t xml:space="preserve">Washington DC</t>
  </si>
  <si>
    <t xml:space="preserve">Texas</t>
  </si>
  <si>
    <t xml:space="preserve">Florida</t>
  </si>
  <si>
    <t xml:space="preserve">Arizona</t>
  </si>
  <si>
    <t xml:space="preserve">Indiana</t>
  </si>
  <si>
    <t xml:space="preserve">Global Americas</t>
  </si>
  <si>
    <t xml:space="preserve">UK</t>
  </si>
  <si>
    <t xml:space="preserve">France</t>
  </si>
  <si>
    <t xml:space="preserve">Italy</t>
  </si>
  <si>
    <t xml:space="preserve">Middle East</t>
  </si>
  <si>
    <t xml:space="preserve">Global EMEA</t>
  </si>
  <si>
    <t xml:space="preserve">Regional roll-up</t>
  </si>
  <si>
    <t xml:space="preserve">Region</t>
  </si>
  <si>
    <t xml:space="preserve">Americas (USCA)</t>
  </si>
  <si>
    <t xml:space="preserve">EMEA</t>
  </si>
  <si>
    <t xml:space="preserve">2026 plan (Sep-2025 budget file) targeted ~50% USCA / 45% EMEA / 5% regional campaigns – compare with the shares above.</t>
  </si>
  <si>
    <t xml:space="preserve">Check: does the territory report match the monthly exports?</t>
  </si>
  <si>
    <t xml:space="preserve">Territory report</t>
  </si>
  <si>
    <t xml:space="preserve">Monthly exports (Jan → last closed month)</t>
  </si>
  <si>
    <t xml:space="preserve">Difference</t>
  </si>
  <si>
    <t xml:space="preserve">Check</t>
  </si>
  <si>
    <t xml:space="preserve">Notes, assumptions &amp; data requests</t>
  </si>
  <si>
    <t xml:space="preserve">HOW TO USE</t>
  </si>
  <si>
    <t xml:space="preserve">1</t>
  </si>
  <si>
    <t xml:space="preserve">Paste monthly spend per platform into 'Monthly Spend' (yellow cells, USD).</t>
  </si>
  <si>
    <t xml:space="preserve">2</t>
  </si>
  <si>
    <t xml:space="preserve">Update 'Last month with closed data' on Overview (B11) – e.g. 10 once October closes.</t>
  </si>
  <si>
    <t xml:space="preserve">3</t>
  </si>
  <si>
    <t xml:space="preserve">Overview automatically switches its YTD figure from the territory report to your monthly exports once every closed month is filled in (see column J).</t>
  </si>
  <si>
    <t xml:space="preserve">4</t>
  </si>
  <si>
    <t xml:space="preserve">Check the reconciliation block at the bottom of 'By Territory' – the two sources should agree within ~1%.</t>
  </si>
  <si>
    <t xml:space="preserve">ASSUMPTIONS</t>
  </si>
  <si>
    <t xml:space="preserve">A1</t>
  </si>
  <si>
    <t xml:space="preserve">Budget 2026: Meta $180k + Google $90k = $270k (as communicated to Felipe). Stretch $350k is a scenario, not approved.</t>
  </si>
  <si>
    <t xml:space="preserve">A2</t>
  </si>
  <si>
    <t xml:space="preserve">Monthly / quarterly budget = annual ÷ 12 / ÷ 4 (straight-line). Change if Finance phases the budget differently.</t>
  </si>
  <si>
    <t xml:space="preserve">A3</t>
  </si>
  <si>
    <t xml:space="preserve">'Last quarter' = Q3 2026 (Jul–Sep), as of 8 Oct 2026.</t>
  </si>
  <si>
    <t xml:space="preserve">A4</t>
  </si>
  <si>
    <t xml:space="preserve">The territory file '2026_09_Spend_breakdown_per_location' is assumed to be YTD Jan–Sep 2026 in USD.</t>
  </si>
  <si>
    <t xml:space="preserve">A5</t>
  </si>
  <si>
    <t xml:space="preserve">The territory file's 'Budget' column totals $294,676, which does not match the $270k total. Its source needs confirming.</t>
  </si>
  <si>
    <t xml:space="preserve">A6</t>
  </si>
  <si>
    <t xml:space="preserve">The original budget file '20250914_PNP_Paid_Budget' (last edited Sep 2025) planned $317.7k with a 25% LinkedIn share. That plan is out of date because LinkedIn isn't live, so this workbook uses the current $270k figures instead.</t>
  </si>
  <si>
    <t xml:space="preserve">DATA NEEDED FROM META</t>
  </si>
  <si>
    <t xml:space="preserve">M1</t>
  </si>
  <si>
    <t xml:space="preserve">Ads Manager &gt; Reports (or Campaigns tab) &gt; select ALL ad accounts used by PNP.</t>
  </si>
  <si>
    <t xml:space="preserve">M2</t>
  </si>
  <si>
    <t xml:space="preserve">Date range: 1 Jan 2026 – today. Breakdown &gt; By Time &gt; Month.</t>
  </si>
  <si>
    <t xml:space="preserve">M3</t>
  </si>
  <si>
    <t xml:space="preserve">Columns: Account name, Account currency, Campaign name, Amount spent. Export as .xlsx or .csv.</t>
  </si>
  <si>
    <t xml:space="preserve">DATA NEEDED FROM GOOGLE ADS</t>
  </si>
  <si>
    <t xml:space="preserve">G1</t>
  </si>
  <si>
    <t xml:space="preserve">From the Manager (MCC) account if there is one, otherwise each account separately.</t>
  </si>
  <si>
    <t xml:space="preserve">G2</t>
  </si>
  <si>
    <t xml:space="preserve">Campaigns report, date range 1 Jan 2026 – today, Segment &gt; Time &gt; Month.</t>
  </si>
  <si>
    <t xml:space="preserve">G3</t>
  </si>
  <si>
    <t xml:space="preserve">Columns: Account, Currency code, Campaign, Cost. Download as .xlsx or .csv.</t>
  </si>
  <si>
    <t xml:space="preserve">OPTIONAL</t>
  </si>
  <si>
    <t xml:space="preserve">O1</t>
  </si>
  <si>
    <t xml:space="preserve">Same exports for 2025 (Jan–Dec) for a year-over-year comparison.</t>
  </si>
  <si>
    <t xml:space="preserve">O2</t>
  </si>
  <si>
    <t xml:space="preserve">ChatGPT Ads spend by month, if it's already running.</t>
  </si>
  <si>
    <t xml:space="preserve">O3</t>
  </si>
  <si>
    <t xml:space="preserve">Who produced the territory file, and how campaigns are mapped to territories (naming convention?).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</si>
</sst>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"/>
    <numFmt numFmtId="167" formatCode="0.0%;\(0.0%\);\-"/>
    <numFmt numFmtId="168" formatCode="\+0.0%;\-0.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BF8F00"/>
      </font>
    </dxf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6" t="s">
        <v>6</v>
      </c>
      <c r="B6" s="7" t="n">
        <v>180000</v>
      </c>
      <c r="C6" s="8" t="s">
        <v>7</v>
      </c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6" t="s">
        <v>8</v>
      </c>
      <c r="B7" s="7" t="n">
        <v>90000</v>
      </c>
      <c r="C7" s="8" t="s">
        <v>9</v>
      </c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6" t="s">
        <v>10</v>
      </c>
      <c r="B8" s="7" t="n">
        <v>0</v>
      </c>
      <c r="C8" s="8" t="s">
        <v>11</v>
      </c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6" t="s">
        <v>12</v>
      </c>
      <c r="B9" s="7" t="n">
        <v>0</v>
      </c>
      <c r="C9" s="8" t="s">
        <v>13</v>
      </c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6" t="s">
        <v>14</v>
      </c>
      <c r="B10" s="7" t="n">
        <v>350000</v>
      </c>
      <c r="C10" s="8" t="s">
        <v>15</v>
      </c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6" t="s">
        <v>16</v>
      </c>
      <c r="B11" s="9" t="n">
        <v>9</v>
      </c>
      <c r="C11" s="8" t="s">
        <v>17</v>
      </c>
      <c r="D11" s="8"/>
      <c r="E11" s="8"/>
      <c r="F11" s="8"/>
      <c r="G11" s="8"/>
      <c r="H11" s="8"/>
      <c r="I11" s="8"/>
      <c r="J11" s="8"/>
    </row>
    <row r="13" customFormat="false" ht="15" hidden="false" customHeight="false" outlineLevel="0" collapsed="false">
      <c r="A13" s="3" t="s">
        <v>18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30" hidden="false" customHeight="true" outlineLevel="0" collapsed="false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5" t="s">
        <v>28</v>
      </c>
    </row>
    <row r="15" customFormat="false" ht="15" hidden="false" customHeight="false" outlineLevel="0" collapsed="false">
      <c r="A15" s="10" t="s">
        <v>29</v>
      </c>
      <c r="B15" s="11" t="n">
        <f aca="false">$B$6</f>
        <v>180000</v>
      </c>
      <c r="C15" s="11" t="n">
        <f aca="false">IF(SUMPRODUCT(('Monthly Spend'!$A$6:$A$17&lt;=$B$11)*ISNUMBER('Monthly Spend'!C$6:C$17))&gt;=$B$11,SUMPRODUCT(('Monthly Spend'!$A$6:$A$17&lt;=$B$11)*'Monthly Spend'!C$6:C$17),'By Territory'!B$20)</f>
        <v>167061.59</v>
      </c>
      <c r="D15" s="11" t="n">
        <f aca="false">B15-C15</f>
        <v>12938.41</v>
      </c>
      <c r="E15" s="12" t="n">
        <f aca="false">IF(B15=0,"n/a",C15/B15)</f>
        <v>0.928119944444445</v>
      </c>
      <c r="F15" s="13" t="n">
        <f aca="false">$B$11/12</f>
        <v>0.75</v>
      </c>
      <c r="G15" s="14" t="str">
        <f aca="false">IF(B15=0,IF(C15&gt;0,"Spend with no budget","No budget set"),IF(E15&gt;F15*1.1,"Ahead of pace",IF(E15&lt;F15*0.9,"Behind pace","On pace")))</f>
        <v>Ahead of pace</v>
      </c>
      <c r="H15" s="11" t="n">
        <f aca="false">C15/$B$11</f>
        <v>18562.3988888889</v>
      </c>
      <c r="I15" s="11" t="n">
        <f aca="false">IF($B$11&gt;=12,0,D15/(12-$B$11))</f>
        <v>4312.80333333333</v>
      </c>
      <c r="J15" s="6" t="str">
        <f aca="false">IF(SUMPRODUCT(('Monthly Spend'!$A$6:$A$17&lt;=$B$11)*ISNUMBER('Monthly Spend'!C$6:C$17))&gt;=$B$11,"Monthly exports","Territory report (Sep 2026)")</f>
        <v>Territory report (Sep 2026)</v>
      </c>
    </row>
    <row r="16" customFormat="false" ht="15" hidden="false" customHeight="false" outlineLevel="0" collapsed="false">
      <c r="A16" s="10" t="s">
        <v>30</v>
      </c>
      <c r="B16" s="11" t="n">
        <f aca="false">$B$7</f>
        <v>90000</v>
      </c>
      <c r="C16" s="11" t="n">
        <f aca="false">IF(SUMPRODUCT(('Monthly Spend'!$A$6:$A$17&lt;=$B$11)*ISNUMBER('Monthly Spend'!D$6:D$17))&gt;=$B$11,SUMPRODUCT(('Monthly Spend'!$A$6:$A$17&lt;=$B$11)*'Monthly Spend'!D$6:D$17),'By Territory'!C$20)</f>
        <v>82856.15</v>
      </c>
      <c r="D16" s="11" t="n">
        <f aca="false">B16-C16</f>
        <v>7143.85000000001</v>
      </c>
      <c r="E16" s="12" t="n">
        <f aca="false">IF(B16=0,"n/a",C16/B16)</f>
        <v>0.920623888888889</v>
      </c>
      <c r="F16" s="13" t="n">
        <f aca="false">$B$11/12</f>
        <v>0.75</v>
      </c>
      <c r="G16" s="14" t="str">
        <f aca="false">IF(B16=0,IF(C16&gt;0,"Spend with no budget","No budget set"),IF(E16&gt;F16*1.1,"Ahead of pace",IF(E16&lt;F16*0.9,"Behind pace","On pace")))</f>
        <v>Ahead of pace</v>
      </c>
      <c r="H16" s="11" t="n">
        <f aca="false">C16/$B$11</f>
        <v>9206.23888888889</v>
      </c>
      <c r="I16" s="11" t="n">
        <f aca="false">IF($B$11&gt;=12,0,D16/(12-$B$11))</f>
        <v>2381.28333333334</v>
      </c>
      <c r="J16" s="6" t="str">
        <f aca="false">IF(SUMPRODUCT(('Monthly Spend'!$A$6:$A$17&lt;=$B$11)*ISNUMBER('Monthly Spend'!D$6:D$17))&gt;=$B$11,"Monthly exports","Territory report (Sep 2026)")</f>
        <v>Territory report (Sep 2026)</v>
      </c>
    </row>
    <row r="17" customFormat="false" ht="15" hidden="false" customHeight="false" outlineLevel="0" collapsed="false">
      <c r="A17" s="10" t="s">
        <v>31</v>
      </c>
      <c r="B17" s="11" t="n">
        <f aca="false">$B$8</f>
        <v>0</v>
      </c>
      <c r="C17" s="11" t="n">
        <f aca="false">SUMPRODUCT(('Monthly Spend'!$A$6:$A$17&lt;=$B$11)*'Monthly Spend'!E$6:E$17)</f>
        <v>0</v>
      </c>
      <c r="D17" s="11" t="n">
        <f aca="false">B17-C17</f>
        <v>0</v>
      </c>
      <c r="E17" s="12" t="str">
        <f aca="false">IF(B17=0,"n/a",C17/B17)</f>
        <v>n/a</v>
      </c>
      <c r="F17" s="13" t="n">
        <f aca="false">$B$11/12</f>
        <v>0.75</v>
      </c>
      <c r="G17" s="14" t="str">
        <f aca="false">IF(B17=0,IF(C17&gt;0,"Spend with no budget","No budget set"),IF(E17&gt;F17*1.1,"Ahead of pace",IF(E17&lt;F17*0.9,"Behind pace","On pace")))</f>
        <v>No budget set</v>
      </c>
      <c r="H17" s="11" t="n">
        <f aca="false">C17/$B$11</f>
        <v>0</v>
      </c>
      <c r="I17" s="11" t="n">
        <f aca="false">IF($B$11&gt;=12,0,D17/(12-$B$11))</f>
        <v>0</v>
      </c>
      <c r="J17" s="6" t="str">
        <f aca="false">IF(SUMPRODUCT(('Monthly Spend'!$A$6:$A$17&lt;=$B$11)*ISNUMBER('Monthly Spend'!E$6:E$17))&gt;0,"Monthly exports","No spend entered")</f>
        <v>No spend entered</v>
      </c>
    </row>
    <row r="18" customFormat="false" ht="15" hidden="false" customHeight="false" outlineLevel="0" collapsed="false">
      <c r="A18" s="10" t="s">
        <v>32</v>
      </c>
      <c r="B18" s="11" t="n">
        <f aca="false">$B$9</f>
        <v>0</v>
      </c>
      <c r="C18" s="11" t="n">
        <f aca="false">SUMPRODUCT(('Monthly Spend'!$A$6:$A$17&lt;=$B$11)*'Monthly Spend'!F$6:F$17)</f>
        <v>0</v>
      </c>
      <c r="D18" s="11" t="n">
        <f aca="false">B18-C18</f>
        <v>0</v>
      </c>
      <c r="E18" s="12" t="str">
        <f aca="false">IF(B18=0,"n/a",C18/B18)</f>
        <v>n/a</v>
      </c>
      <c r="F18" s="13" t="n">
        <f aca="false">$B$11/12</f>
        <v>0.75</v>
      </c>
      <c r="G18" s="14" t="str">
        <f aca="false">IF(B18=0,IF(C18&gt;0,"Spend with no budget","No budget set"),IF(E18&gt;F18*1.1,"Ahead of pace",IF(E18&lt;F18*0.9,"Behind pace","On pace")))</f>
        <v>No budget set</v>
      </c>
      <c r="H18" s="11" t="n">
        <f aca="false">C18/$B$11</f>
        <v>0</v>
      </c>
      <c r="I18" s="11" t="n">
        <f aca="false">IF($B$11&gt;=12,0,D18/(12-$B$11))</f>
        <v>0</v>
      </c>
      <c r="J18" s="6" t="str">
        <f aca="false">IF(SUMPRODUCT(('Monthly Spend'!$A$6:$A$17&lt;=$B$11)*ISNUMBER('Monthly Spend'!F$6:F$17))&gt;0,"Monthly exports","No spend entered")</f>
        <v>No spend entered</v>
      </c>
    </row>
    <row r="19" customFormat="false" ht="15" hidden="false" customHeight="false" outlineLevel="0" collapsed="false">
      <c r="A19" s="15" t="s">
        <v>33</v>
      </c>
      <c r="B19" s="16" t="n">
        <f aca="false">SUM(B15:B18)</f>
        <v>270000</v>
      </c>
      <c r="C19" s="16" t="n">
        <f aca="false">SUM(C15:C18)</f>
        <v>249917.74</v>
      </c>
      <c r="D19" s="16" t="n">
        <f aca="false">SUM(D15:D18)</f>
        <v>20082.26</v>
      </c>
      <c r="E19" s="17" t="n">
        <f aca="false">IF(B19=0,0,C19/B19)</f>
        <v>0.925621259259259</v>
      </c>
      <c r="F19" s="17" t="n">
        <f aca="false">$B$11/12</f>
        <v>0.75</v>
      </c>
      <c r="G19" s="18" t="str">
        <f aca="false">IF(E19&gt;F19*1.1,"Ahead of pace",IF(E19&lt;F19*0.9,"Behind pace","On pace"))</f>
        <v>Ahead of pace</v>
      </c>
      <c r="H19" s="16" t="n">
        <f aca="false">SUM(H15:H18)</f>
        <v>27768.6377777778</v>
      </c>
      <c r="I19" s="16" t="n">
        <f aca="false">IF($B$11&gt;=12,0,D19/(12-$B$11))</f>
        <v>6694.08666666667</v>
      </c>
      <c r="J19" s="19"/>
    </row>
    <row r="20" customFormat="false" ht="15" hidden="false" customHeight="false" outlineLevel="0" collapsed="false">
      <c r="A20" s="20" t="s">
        <v>34</v>
      </c>
    </row>
    <row r="22" customFormat="false" ht="15" hidden="false" customHeight="false" outlineLevel="0" collapsed="false">
      <c r="A22" s="3" t="s">
        <v>35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30" hidden="false" customHeight="true" outlineLevel="0" collapsed="false">
      <c r="A23" s="5" t="s">
        <v>36</v>
      </c>
      <c r="B23" s="5" t="s">
        <v>37</v>
      </c>
      <c r="C23" s="5" t="s">
        <v>21</v>
      </c>
      <c r="D23" s="5" t="s">
        <v>38</v>
      </c>
      <c r="E23" s="5" t="s">
        <v>39</v>
      </c>
      <c r="F23" s="5" t="s">
        <v>40</v>
      </c>
      <c r="G23" s="5" t="s">
        <v>41</v>
      </c>
    </row>
    <row r="24" customFormat="false" ht="15" hidden="false" customHeight="false" outlineLevel="0" collapsed="false">
      <c r="A24" s="10" t="s">
        <v>42</v>
      </c>
      <c r="B24" s="11" t="n">
        <f aca="false">B19</f>
        <v>270000</v>
      </c>
      <c r="C24" s="11" t="n">
        <f aca="false">$C$19</f>
        <v>249917.74</v>
      </c>
      <c r="D24" s="11" t="n">
        <f aca="false">B24-C24</f>
        <v>20082.26</v>
      </c>
      <c r="E24" s="21" t="n">
        <f aca="false">12-$B$11</f>
        <v>3</v>
      </c>
      <c r="F24" s="11" t="n">
        <f aca="false">IF(E24=0,0,D24/E24)</f>
        <v>6694.08666666667</v>
      </c>
      <c r="G24" s="22" t="n">
        <f aca="false">IF($H$19=0,0,F24/$H$19-1)</f>
        <v>-0.758933559498417</v>
      </c>
    </row>
    <row r="25" customFormat="false" ht="15" hidden="false" customHeight="false" outlineLevel="0" collapsed="false">
      <c r="A25" s="10" t="s">
        <v>43</v>
      </c>
      <c r="B25" s="11" t="n">
        <f aca="false">$B$10</f>
        <v>350000</v>
      </c>
      <c r="C25" s="11" t="n">
        <f aca="false">$C$19</f>
        <v>249917.74</v>
      </c>
      <c r="D25" s="11" t="n">
        <f aca="false">B25-C25</f>
        <v>100082.26</v>
      </c>
      <c r="E25" s="21" t="n">
        <f aca="false">12-$B$11</f>
        <v>3</v>
      </c>
      <c r="F25" s="11" t="n">
        <f aca="false">IF(E25=0,0,D25/E25)</f>
        <v>33360.7533333333</v>
      </c>
      <c r="G25" s="22" t="n">
        <f aca="false">IF($H$19=0,0,F25/$H$19-1)</f>
        <v>0.201382422872422</v>
      </c>
    </row>
    <row r="26" customFormat="false" ht="15" hidden="false" customHeight="false" outlineLevel="0" collapsed="false">
      <c r="A26" s="20" t="s">
        <v>44</v>
      </c>
    </row>
    <row r="28" customFormat="false" ht="15" hidden="false" customHeight="false" outlineLevel="0" collapsed="false">
      <c r="A28" s="3" t="s">
        <v>45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30" hidden="false" customHeight="true" outlineLevel="0" collapsed="false">
      <c r="A29" s="5" t="s">
        <v>19</v>
      </c>
      <c r="B29" s="5" t="s">
        <v>46</v>
      </c>
      <c r="C29" s="5" t="s">
        <v>47</v>
      </c>
      <c r="D29" s="5" t="s">
        <v>48</v>
      </c>
      <c r="E29" s="5" t="s">
        <v>49</v>
      </c>
      <c r="F29" s="5" t="s">
        <v>50</v>
      </c>
      <c r="G29" s="5" t="s">
        <v>51</v>
      </c>
      <c r="H29" s="5" t="s">
        <v>52</v>
      </c>
      <c r="I29" s="5" t="s">
        <v>53</v>
      </c>
    </row>
    <row r="30" customFormat="false" ht="15" hidden="false" customHeight="false" outlineLevel="0" collapsed="false">
      <c r="A30" s="10" t="s">
        <v>29</v>
      </c>
      <c r="B30" s="11" t="n">
        <f aca="false">SUMIFS('Monthly Spend'!$C$6:$C$17,'Monthly Spend'!$B$6:$B$17,"Q1")</f>
        <v>0</v>
      </c>
      <c r="C30" s="11" t="n">
        <f aca="false">SUMIFS('Monthly Spend'!$C$6:$C$17,'Monthly Spend'!$B$6:$B$17,"Q2")</f>
        <v>0</v>
      </c>
      <c r="D30" s="23" t="n">
        <f aca="false">SUMIFS('Monthly Spend'!$C$6:$C$17,'Monthly Spend'!$B$6:$B$17,"Q3")</f>
        <v>0</v>
      </c>
      <c r="E30" s="11" t="n">
        <f aca="false">SUMIFS('Monthly Spend'!$C$6:$C$17,'Monthly Spend'!$B$6:$B$17,"Q4")</f>
        <v>0</v>
      </c>
      <c r="F30" s="11" t="n">
        <f aca="false">SUM(B30:E30)</f>
        <v>0</v>
      </c>
      <c r="G30" s="11" t="n">
        <f aca="false">$B$6/4</f>
        <v>45000</v>
      </c>
      <c r="H30" s="12" t="n">
        <f aca="false">IF(G30=0,"n/a",D30/G30)</f>
        <v>0</v>
      </c>
      <c r="I30" s="13" t="n">
        <f aca="false">IF($D$34=0,0,D30/$D$34)</f>
        <v>0</v>
      </c>
    </row>
    <row r="31" customFormat="false" ht="15" hidden="false" customHeight="false" outlineLevel="0" collapsed="false">
      <c r="A31" s="10" t="s">
        <v>30</v>
      </c>
      <c r="B31" s="11" t="n">
        <f aca="false">SUMIFS('Monthly Spend'!$D$6:$D$17,'Monthly Spend'!$B$6:$B$17,"Q1")</f>
        <v>0</v>
      </c>
      <c r="C31" s="11" t="n">
        <f aca="false">SUMIFS('Monthly Spend'!$D$6:$D$17,'Monthly Spend'!$B$6:$B$17,"Q2")</f>
        <v>0</v>
      </c>
      <c r="D31" s="23" t="n">
        <f aca="false">SUMIFS('Monthly Spend'!$D$6:$D$17,'Monthly Spend'!$B$6:$B$17,"Q3")</f>
        <v>0</v>
      </c>
      <c r="E31" s="11" t="n">
        <f aca="false">SUMIFS('Monthly Spend'!$D$6:$D$17,'Monthly Spend'!$B$6:$B$17,"Q4")</f>
        <v>0</v>
      </c>
      <c r="F31" s="11" t="n">
        <f aca="false">SUM(B31:E31)</f>
        <v>0</v>
      </c>
      <c r="G31" s="11" t="n">
        <f aca="false">$B$7/4</f>
        <v>22500</v>
      </c>
      <c r="H31" s="12" t="n">
        <f aca="false">IF(G31=0,"n/a",D31/G31)</f>
        <v>0</v>
      </c>
      <c r="I31" s="13" t="n">
        <f aca="false">IF($D$34=0,0,D31/$D$34)</f>
        <v>0</v>
      </c>
    </row>
    <row r="32" customFormat="false" ht="15" hidden="false" customHeight="false" outlineLevel="0" collapsed="false">
      <c r="A32" s="10" t="s">
        <v>31</v>
      </c>
      <c r="B32" s="11" t="n">
        <f aca="false">SUMIFS('Monthly Spend'!$E$6:$E$17,'Monthly Spend'!$B$6:$B$17,"Q1")</f>
        <v>0</v>
      </c>
      <c r="C32" s="11" t="n">
        <f aca="false">SUMIFS('Monthly Spend'!$E$6:$E$17,'Monthly Spend'!$B$6:$B$17,"Q2")</f>
        <v>0</v>
      </c>
      <c r="D32" s="23" t="n">
        <f aca="false">SUMIFS('Monthly Spend'!$E$6:$E$17,'Monthly Spend'!$B$6:$B$17,"Q3")</f>
        <v>0</v>
      </c>
      <c r="E32" s="11" t="n">
        <f aca="false">SUMIFS('Monthly Spend'!$E$6:$E$17,'Monthly Spend'!$B$6:$B$17,"Q4")</f>
        <v>0</v>
      </c>
      <c r="F32" s="11" t="n">
        <f aca="false">SUM(B32:E32)</f>
        <v>0</v>
      </c>
      <c r="G32" s="11" t="n">
        <f aca="false">$B$8/4</f>
        <v>0</v>
      </c>
      <c r="H32" s="12" t="str">
        <f aca="false">IF(G32=0,"n/a",D32/G32)</f>
        <v>n/a</v>
      </c>
      <c r="I32" s="13" t="n">
        <f aca="false">IF($D$34=0,0,D32/$D$34)</f>
        <v>0</v>
      </c>
    </row>
    <row r="33" customFormat="false" ht="15" hidden="false" customHeight="false" outlineLevel="0" collapsed="false">
      <c r="A33" s="10" t="s">
        <v>32</v>
      </c>
      <c r="B33" s="11" t="n">
        <f aca="false">SUMIFS('Monthly Spend'!$F$6:$F$17,'Monthly Spend'!$B$6:$B$17,"Q1")</f>
        <v>0</v>
      </c>
      <c r="C33" s="11" t="n">
        <f aca="false">SUMIFS('Monthly Spend'!$F$6:$F$17,'Monthly Spend'!$B$6:$B$17,"Q2")</f>
        <v>0</v>
      </c>
      <c r="D33" s="23" t="n">
        <f aca="false">SUMIFS('Monthly Spend'!$F$6:$F$17,'Monthly Spend'!$B$6:$B$17,"Q3")</f>
        <v>0</v>
      </c>
      <c r="E33" s="11" t="n">
        <f aca="false">SUMIFS('Monthly Spend'!$F$6:$F$17,'Monthly Spend'!$B$6:$B$17,"Q4")</f>
        <v>0</v>
      </c>
      <c r="F33" s="11" t="n">
        <f aca="false">SUM(B33:E33)</f>
        <v>0</v>
      </c>
      <c r="G33" s="11" t="n">
        <f aca="false">$B$9/4</f>
        <v>0</v>
      </c>
      <c r="H33" s="12" t="str">
        <f aca="false">IF(G33=0,"n/a",D33/G33)</f>
        <v>n/a</v>
      </c>
      <c r="I33" s="13" t="n">
        <f aca="false">IF($D$34=0,0,D33/$D$34)</f>
        <v>0</v>
      </c>
    </row>
    <row r="34" customFormat="false" ht="15" hidden="false" customHeight="false" outlineLevel="0" collapsed="false">
      <c r="A34" s="15" t="s">
        <v>33</v>
      </c>
      <c r="B34" s="16" t="n">
        <f aca="false">SUM(B30:B33)</f>
        <v>0</v>
      </c>
      <c r="C34" s="16" t="n">
        <f aca="false">SUM(C30:C33)</f>
        <v>0</v>
      </c>
      <c r="D34" s="16" t="n">
        <f aca="false">SUM(D30:D33)</f>
        <v>0</v>
      </c>
      <c r="E34" s="16" t="n">
        <f aca="false">SUM(E30:E33)</f>
        <v>0</v>
      </c>
      <c r="F34" s="16" t="n">
        <f aca="false">SUM(B34:E34)</f>
        <v>0</v>
      </c>
      <c r="G34" s="16" t="n">
        <f aca="false">SUM(G30:G33)</f>
        <v>67500</v>
      </c>
      <c r="H34" s="24" t="n">
        <f aca="false">IF(G34=0,"n/a",D34/G34)</f>
        <v>0</v>
      </c>
      <c r="I34" s="17" t="n">
        <f aca="false">IF($D$34=0,0,D34/$D$34)</f>
        <v>0</v>
      </c>
    </row>
    <row r="35" customFormat="false" ht="15" hidden="false" customHeight="false" outlineLevel="0" collapsed="false">
      <c r="A35" s="25" t="s">
        <v>54</v>
      </c>
    </row>
    <row r="37" customFormat="false" ht="15" hidden="false" customHeight="false" outlineLevel="0" collapsed="false">
      <c r="A37" s="3" t="s">
        <v>55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30" hidden="false" customHeight="true" outlineLevel="0" collapsed="false">
      <c r="A38" s="5" t="s">
        <v>56</v>
      </c>
      <c r="B38" s="5" t="s">
        <v>57</v>
      </c>
      <c r="C38" s="5" t="s">
        <v>58</v>
      </c>
      <c r="D38" s="5" t="s">
        <v>59</v>
      </c>
      <c r="E38" s="5" t="s">
        <v>60</v>
      </c>
    </row>
    <row r="39" customFormat="false" ht="15" hidden="false" customHeight="false" outlineLevel="0" collapsed="false">
      <c r="A39" s="26" t="str">
        <f aca="false">'By Territory'!A6</f>
        <v>California</v>
      </c>
      <c r="B39" s="27" t="n">
        <f aca="false">'By Territory'!D6</f>
        <v>28276.67</v>
      </c>
      <c r="C39" s="27" t="n">
        <f aca="false">'By Territory'!E6</f>
        <v>26630.37</v>
      </c>
      <c r="D39" s="28" t="n">
        <f aca="false">'By Territory'!F6</f>
        <v>1.06182039528553</v>
      </c>
      <c r="E39" s="29" t="str">
        <f aca="false">'By Territory'!H6</f>
        <v>Over budget</v>
      </c>
    </row>
    <row r="40" customFormat="false" ht="15" hidden="false" customHeight="false" outlineLevel="0" collapsed="false">
      <c r="A40" s="26" t="str">
        <f aca="false">'By Territory'!A7</f>
        <v>New York</v>
      </c>
      <c r="B40" s="27" t="n">
        <f aca="false">'By Territory'!D7</f>
        <v>14546.81</v>
      </c>
      <c r="C40" s="27" t="n">
        <f aca="false">'By Territory'!E7</f>
        <v>29658.15</v>
      </c>
      <c r="D40" s="28" t="n">
        <f aca="false">'By Territory'!F7</f>
        <v>0.490482717229497</v>
      </c>
      <c r="E40" s="29" t="str">
        <f aca="false">'By Territory'!H7</f>
        <v>Under 60% used</v>
      </c>
    </row>
    <row r="41" customFormat="false" ht="15" hidden="false" customHeight="false" outlineLevel="0" collapsed="false">
      <c r="A41" s="26" t="str">
        <f aca="false">'By Territory'!A8</f>
        <v>New Jersey</v>
      </c>
      <c r="B41" s="27" t="n">
        <f aca="false">'By Territory'!D8</f>
        <v>12020.55</v>
      </c>
      <c r="C41" s="27" t="n">
        <f aca="false">'By Territory'!E8</f>
        <v>22995.72</v>
      </c>
      <c r="D41" s="28" t="n">
        <f aca="false">'By Territory'!F8</f>
        <v>0.52272988190846</v>
      </c>
      <c r="E41" s="29" t="str">
        <f aca="false">'By Territory'!H8</f>
        <v>Under 60% used</v>
      </c>
    </row>
    <row r="42" customFormat="false" ht="15" hidden="false" customHeight="false" outlineLevel="0" collapsed="false">
      <c r="A42" s="26" t="str">
        <f aca="false">'By Territory'!A9</f>
        <v>Washington DC</v>
      </c>
      <c r="B42" s="27" t="n">
        <f aca="false">'By Territory'!D9</f>
        <v>8942.77</v>
      </c>
      <c r="C42" s="27" t="n">
        <f aca="false">'By Territory'!E9</f>
        <v>13663.52</v>
      </c>
      <c r="D42" s="28" t="n">
        <f aca="false">'By Territory'!F9</f>
        <v>0.654499718959682</v>
      </c>
      <c r="E42" s="29" t="str">
        <f aca="false">'By Territory'!H9</f>
        <v>OK</v>
      </c>
    </row>
    <row r="43" customFormat="false" ht="15" hidden="false" customHeight="false" outlineLevel="0" collapsed="false">
      <c r="A43" s="26" t="str">
        <f aca="false">'By Territory'!A10</f>
        <v>Texas</v>
      </c>
      <c r="B43" s="27" t="n">
        <f aca="false">'By Territory'!D10</f>
        <v>11513.35</v>
      </c>
      <c r="C43" s="27" t="n">
        <f aca="false">'By Territory'!E10</f>
        <v>22327.18</v>
      </c>
      <c r="D43" s="28" t="n">
        <f aca="false">'By Territory'!F10</f>
        <v>0.515665211638908</v>
      </c>
      <c r="E43" s="29" t="str">
        <f aca="false">'By Territory'!H10</f>
        <v>Under 60% used</v>
      </c>
    </row>
    <row r="44" customFormat="false" ht="15" hidden="false" customHeight="false" outlineLevel="0" collapsed="false">
      <c r="A44" s="26" t="str">
        <f aca="false">'By Territory'!A11</f>
        <v>Florida</v>
      </c>
      <c r="B44" s="27" t="n">
        <f aca="false">'By Territory'!D11</f>
        <v>11417.81</v>
      </c>
      <c r="C44" s="27" t="n">
        <f aca="false">'By Territory'!E11</f>
        <v>21992</v>
      </c>
      <c r="D44" s="28" t="n">
        <f aca="false">'By Territory'!F11</f>
        <v>0.519180156420517</v>
      </c>
      <c r="E44" s="29" t="str">
        <f aca="false">'By Territory'!H11</f>
        <v>Under 60% used</v>
      </c>
    </row>
    <row r="45" customFormat="false" ht="15" hidden="false" customHeight="false" outlineLevel="0" collapsed="false">
      <c r="A45" s="26" t="str">
        <f aca="false">'By Territory'!A12</f>
        <v>Arizona</v>
      </c>
      <c r="B45" s="27" t="n">
        <f aca="false">'By Territory'!D12</f>
        <v>6386.44</v>
      </c>
      <c r="C45" s="27" t="n">
        <f aca="false">'By Territory'!E12</f>
        <v>15328.36</v>
      </c>
      <c r="D45" s="28" t="n">
        <f aca="false">'By Territory'!F12</f>
        <v>0.416642093479015</v>
      </c>
      <c r="E45" s="29" t="str">
        <f aca="false">'By Territory'!H12</f>
        <v>Under 60% used</v>
      </c>
    </row>
    <row r="46" customFormat="false" ht="15" hidden="false" customHeight="false" outlineLevel="0" collapsed="false">
      <c r="A46" s="26" t="str">
        <f aca="false">'By Territory'!A13</f>
        <v>Indiana</v>
      </c>
      <c r="B46" s="27" t="n">
        <f aca="false">'By Territory'!D13</f>
        <v>6476.97</v>
      </c>
      <c r="C46" s="27" t="n">
        <f aca="false">'By Territory'!E13</f>
        <v>13663.52</v>
      </c>
      <c r="D46" s="28" t="n">
        <f aca="false">'By Territory'!F13</f>
        <v>0.474033777533169</v>
      </c>
      <c r="E46" s="29" t="str">
        <f aca="false">'By Territory'!H13</f>
        <v>Under 60% used</v>
      </c>
    </row>
    <row r="47" customFormat="false" ht="15" hidden="false" customHeight="false" outlineLevel="0" collapsed="false">
      <c r="A47" s="26" t="str">
        <f aca="false">'By Territory'!A14</f>
        <v>Global Americas</v>
      </c>
      <c r="B47" s="27" t="n">
        <f aca="false">'By Territory'!D14</f>
        <v>47457.25</v>
      </c>
      <c r="C47" s="27" t="n">
        <f aca="false">'By Territory'!E14</f>
        <v>27967.45</v>
      </c>
      <c r="D47" s="28" t="n">
        <f aca="false">'By Territory'!F14</f>
        <v>1.69687440220685</v>
      </c>
      <c r="E47" s="29" t="str">
        <f aca="false">'By Territory'!H14</f>
        <v>Over budget</v>
      </c>
    </row>
    <row r="48" customFormat="false" ht="15" hidden="false" customHeight="false" outlineLevel="0" collapsed="false">
      <c r="A48" s="26" t="str">
        <f aca="false">'By Territory'!A15</f>
        <v>UK</v>
      </c>
      <c r="B48" s="27" t="n">
        <f aca="false">'By Territory'!D15</f>
        <v>18446.16</v>
      </c>
      <c r="C48" s="27" t="n">
        <f aca="false">'By Territory'!E15</f>
        <v>22327.06</v>
      </c>
      <c r="D48" s="28" t="n">
        <f aca="false">'By Territory'!F15</f>
        <v>0.826179532818024</v>
      </c>
      <c r="E48" s="29" t="str">
        <f aca="false">'By Territory'!H15</f>
        <v>OK</v>
      </c>
    </row>
    <row r="49" customFormat="false" ht="15" hidden="false" customHeight="false" outlineLevel="0" collapsed="false">
      <c r="A49" s="26" t="str">
        <f aca="false">'By Territory'!A16</f>
        <v>France</v>
      </c>
      <c r="B49" s="27" t="n">
        <f aca="false">'By Territory'!D16</f>
        <v>18019.44</v>
      </c>
      <c r="C49" s="27" t="n">
        <f aca="false">'By Territory'!E16</f>
        <v>22327.06</v>
      </c>
      <c r="D49" s="28" t="n">
        <f aca="false">'By Territory'!F16</f>
        <v>0.80706729860537</v>
      </c>
      <c r="E49" s="29" t="str">
        <f aca="false">'By Territory'!H16</f>
        <v>OK</v>
      </c>
    </row>
    <row r="50" customFormat="false" ht="15" hidden="false" customHeight="false" outlineLevel="0" collapsed="false">
      <c r="A50" s="26" t="str">
        <f aca="false">'By Territory'!A17</f>
        <v>Italy</v>
      </c>
      <c r="B50" s="27" t="n">
        <f aca="false">'By Territory'!D17</f>
        <v>14489.38</v>
      </c>
      <c r="C50" s="27" t="n">
        <f aca="false">'By Territory'!E17</f>
        <v>18329.47</v>
      </c>
      <c r="D50" s="28" t="n">
        <f aca="false">'By Territory'!F17</f>
        <v>0.790496397331729</v>
      </c>
      <c r="E50" s="29" t="str">
        <f aca="false">'By Territory'!H17</f>
        <v>OK</v>
      </c>
    </row>
    <row r="51" customFormat="false" ht="15" hidden="false" customHeight="false" outlineLevel="0" collapsed="false">
      <c r="A51" s="26" t="str">
        <f aca="false">'By Territory'!A18</f>
        <v>Middle East</v>
      </c>
      <c r="B51" s="27" t="n">
        <f aca="false">'By Territory'!D18</f>
        <v>10416.48</v>
      </c>
      <c r="C51" s="27" t="n">
        <f aca="false">'By Territory'!E18</f>
        <v>9498.98</v>
      </c>
      <c r="D51" s="28" t="n">
        <f aca="false">'By Territory'!F18</f>
        <v>1.09658931801099</v>
      </c>
      <c r="E51" s="29" t="str">
        <f aca="false">'By Territory'!H18</f>
        <v>Over budget</v>
      </c>
    </row>
    <row r="52" customFormat="false" ht="15" hidden="false" customHeight="false" outlineLevel="0" collapsed="false">
      <c r="A52" s="26" t="str">
        <f aca="false">'By Territory'!A19</f>
        <v>Global EMEA</v>
      </c>
      <c r="B52" s="27" t="n">
        <f aca="false">'By Territory'!D19</f>
        <v>41507.66</v>
      </c>
      <c r="C52" s="27" t="n">
        <f aca="false">'By Territory'!E19</f>
        <v>27967.45</v>
      </c>
      <c r="D52" s="28" t="n">
        <f aca="false">'By Territory'!F19</f>
        <v>1.48414174334807</v>
      </c>
      <c r="E52" s="29" t="str">
        <f aca="false">'By Territory'!H19</f>
        <v>Over budget</v>
      </c>
    </row>
    <row r="53" customFormat="false" ht="15" hidden="false" customHeight="false" outlineLevel="0" collapsed="false">
      <c r="A53" s="15" t="s">
        <v>33</v>
      </c>
      <c r="B53" s="30" t="n">
        <f aca="false">'By Territory'!D20</f>
        <v>249917.74</v>
      </c>
      <c r="C53" s="30" t="n">
        <f aca="false">'By Territory'!E20</f>
        <v>294676.29</v>
      </c>
      <c r="D53" s="31" t="n">
        <f aca="false">'By Territory'!F20</f>
        <v>0.848109428824423</v>
      </c>
      <c r="E53" s="32" t="str">
        <f aca="false">'By Territory'!H20</f>
        <v>OK</v>
      </c>
    </row>
  </sheetData>
  <mergeCells count="7">
    <mergeCell ref="C5:J5"/>
    <mergeCell ref="C6:J6"/>
    <mergeCell ref="C7:J7"/>
    <mergeCell ref="C8:J8"/>
    <mergeCell ref="C9:J9"/>
    <mergeCell ref="C10:J10"/>
    <mergeCell ref="C11:J11"/>
  </mergeCells>
  <conditionalFormatting sqref="G15:G19">
    <cfRule type="expression" priority="2" aboveAverage="0" equalAverage="0" bottom="0" percent="0" rank="0" text="" dxfId="0">
      <formula>G15="Ahead of pace"</formula>
    </cfRule>
    <cfRule type="expression" priority="3" aboveAverage="0" equalAverage="0" bottom="0" percent="0" rank="0" text="" dxfId="1">
      <formula>G15="Behind pace"</formula>
    </cfRule>
    <cfRule type="expression" priority="4" aboveAverage="0" equalAverage="0" bottom="0" percent="0" rank="0" text="" dxfId="2">
      <formula>G15="On pace"</formula>
    </cfRule>
  </conditionalFormatting>
  <conditionalFormatting sqref="E39:E53">
    <cfRule type="expression" priority="5" aboveAverage="0" equalAverage="0" bottom="0" percent="0" rank="0" text="" dxfId="0">
      <formula>E39="Over budget"</formula>
    </cfRule>
    <cfRule type="expression" priority="6" aboveAverage="0" equalAverage="0" bottom="0" percent="0" rank="0" text="" dxfId="1">
      <formula>E39="Under 60% used"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11" min="8" style="0" width="16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25" t="s">
        <v>63</v>
      </c>
    </row>
    <row r="5" customFormat="false" ht="30" hidden="false" customHeight="true" outlineLevel="0" collapsed="false">
      <c r="A5" s="5" t="s">
        <v>64</v>
      </c>
      <c r="B5" s="5" t="s">
        <v>65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70</v>
      </c>
      <c r="L5" s="5" t="s">
        <v>71</v>
      </c>
    </row>
    <row r="6" customFormat="false" ht="15" hidden="false" customHeight="false" outlineLevel="0" collapsed="false">
      <c r="A6" s="33" t="n">
        <v>1</v>
      </c>
      <c r="B6" s="14" t="s">
        <v>72</v>
      </c>
      <c r="C6" s="7"/>
      <c r="D6" s="7"/>
      <c r="E6" s="7"/>
      <c r="F6" s="7"/>
      <c r="G6" s="11" t="str">
        <f aca="false">IF(COUNT(C6:F6)=0,"",SUM(C6:F6))</f>
        <v/>
      </c>
      <c r="H6" s="27" t="n">
        <f aca="false">Overview!$B$19/12</f>
        <v>22500</v>
      </c>
      <c r="I6" s="11" t="str">
        <f aca="false">IF(G6="","",G6-H6)</f>
        <v/>
      </c>
      <c r="J6" s="11" t="str">
        <f aca="false">IF(G6="","",SUM($G$6:G6))</f>
        <v/>
      </c>
      <c r="K6" s="11" t="n">
        <f aca="false">SUM($H$6:H6)</f>
        <v>22500</v>
      </c>
      <c r="L6" s="6" t="s">
        <v>73</v>
      </c>
    </row>
    <row r="7" customFormat="false" ht="15" hidden="false" customHeight="false" outlineLevel="0" collapsed="false">
      <c r="A7" s="33" t="n">
        <v>2</v>
      </c>
      <c r="B7" s="14" t="s">
        <v>72</v>
      </c>
      <c r="C7" s="7"/>
      <c r="D7" s="7"/>
      <c r="E7" s="7"/>
      <c r="F7" s="7"/>
      <c r="G7" s="11" t="str">
        <f aca="false">IF(COUNT(C7:F7)=0,"",SUM(C7:F7))</f>
        <v/>
      </c>
      <c r="H7" s="27" t="n">
        <f aca="false">Overview!$B$19/12</f>
        <v>22500</v>
      </c>
      <c r="I7" s="11" t="str">
        <f aca="false">IF(G7="","",G7-H7)</f>
        <v/>
      </c>
      <c r="J7" s="11" t="str">
        <f aca="false">IF(G7="","",SUM($G$6:G7))</f>
        <v/>
      </c>
      <c r="K7" s="11" t="n">
        <f aca="false">SUM($H$6:H7)</f>
        <v>45000</v>
      </c>
      <c r="L7" s="6" t="s">
        <v>74</v>
      </c>
    </row>
    <row r="8" customFormat="false" ht="15" hidden="false" customHeight="false" outlineLevel="0" collapsed="false">
      <c r="A8" s="33" t="n">
        <v>3</v>
      </c>
      <c r="B8" s="14" t="s">
        <v>72</v>
      </c>
      <c r="C8" s="7"/>
      <c r="D8" s="7"/>
      <c r="E8" s="7"/>
      <c r="F8" s="7"/>
      <c r="G8" s="11" t="str">
        <f aca="false">IF(COUNT(C8:F8)=0,"",SUM(C8:F8))</f>
        <v/>
      </c>
      <c r="H8" s="27" t="n">
        <f aca="false">Overview!$B$19/12</f>
        <v>22500</v>
      </c>
      <c r="I8" s="11" t="str">
        <f aca="false">IF(G8="","",G8-H8)</f>
        <v/>
      </c>
      <c r="J8" s="11" t="str">
        <f aca="false">IF(G8="","",SUM($G$6:G8))</f>
        <v/>
      </c>
      <c r="K8" s="11" t="n">
        <f aca="false">SUM($H$6:H8)</f>
        <v>67500</v>
      </c>
      <c r="L8" s="6" t="s">
        <v>75</v>
      </c>
    </row>
    <row r="9" customFormat="false" ht="15" hidden="false" customHeight="false" outlineLevel="0" collapsed="false">
      <c r="A9" s="33" t="n">
        <v>4</v>
      </c>
      <c r="B9" s="14" t="s">
        <v>76</v>
      </c>
      <c r="C9" s="7"/>
      <c r="D9" s="7"/>
      <c r="E9" s="7"/>
      <c r="F9" s="7"/>
      <c r="G9" s="11" t="str">
        <f aca="false">IF(COUNT(C9:F9)=0,"",SUM(C9:F9))</f>
        <v/>
      </c>
      <c r="H9" s="27" t="n">
        <f aca="false">Overview!$B$19/12</f>
        <v>22500</v>
      </c>
      <c r="I9" s="11" t="str">
        <f aca="false">IF(G9="","",G9-H9)</f>
        <v/>
      </c>
      <c r="J9" s="11" t="str">
        <f aca="false">IF(G9="","",SUM($G$6:G9))</f>
        <v/>
      </c>
      <c r="K9" s="11" t="n">
        <f aca="false">SUM($H$6:H9)</f>
        <v>90000</v>
      </c>
      <c r="L9" s="6" t="s">
        <v>77</v>
      </c>
    </row>
    <row r="10" customFormat="false" ht="15" hidden="false" customHeight="false" outlineLevel="0" collapsed="false">
      <c r="A10" s="33" t="n">
        <v>5</v>
      </c>
      <c r="B10" s="14" t="s">
        <v>76</v>
      </c>
      <c r="C10" s="7"/>
      <c r="D10" s="7"/>
      <c r="E10" s="7"/>
      <c r="F10" s="7"/>
      <c r="G10" s="11" t="str">
        <f aca="false">IF(COUNT(C10:F10)=0,"",SUM(C10:F10))</f>
        <v/>
      </c>
      <c r="H10" s="27" t="n">
        <f aca="false">Overview!$B$19/12</f>
        <v>22500</v>
      </c>
      <c r="I10" s="11" t="str">
        <f aca="false">IF(G10="","",G10-H10)</f>
        <v/>
      </c>
      <c r="J10" s="11" t="str">
        <f aca="false">IF(G10="","",SUM($G$6:G10))</f>
        <v/>
      </c>
      <c r="K10" s="11" t="n">
        <f aca="false">SUM($H$6:H10)</f>
        <v>112500</v>
      </c>
      <c r="L10" s="6" t="s">
        <v>78</v>
      </c>
    </row>
    <row r="11" customFormat="false" ht="15" hidden="false" customHeight="false" outlineLevel="0" collapsed="false">
      <c r="A11" s="33" t="n">
        <v>6</v>
      </c>
      <c r="B11" s="14" t="s">
        <v>76</v>
      </c>
      <c r="C11" s="7"/>
      <c r="D11" s="7"/>
      <c r="E11" s="7"/>
      <c r="F11" s="7"/>
      <c r="G11" s="11" t="str">
        <f aca="false">IF(COUNT(C11:F11)=0,"",SUM(C11:F11))</f>
        <v/>
      </c>
      <c r="H11" s="27" t="n">
        <f aca="false">Overview!$B$19/12</f>
        <v>22500</v>
      </c>
      <c r="I11" s="11" t="str">
        <f aca="false">IF(G11="","",G11-H11)</f>
        <v/>
      </c>
      <c r="J11" s="11" t="str">
        <f aca="false">IF(G11="","",SUM($G$6:G11))</f>
        <v/>
      </c>
      <c r="K11" s="11" t="n">
        <f aca="false">SUM($H$6:H11)</f>
        <v>135000</v>
      </c>
      <c r="L11" s="6" t="s">
        <v>79</v>
      </c>
    </row>
    <row r="12" customFormat="false" ht="15" hidden="false" customHeight="false" outlineLevel="0" collapsed="false">
      <c r="A12" s="33" t="n">
        <v>7</v>
      </c>
      <c r="B12" s="14" t="s">
        <v>80</v>
      </c>
      <c r="C12" s="7"/>
      <c r="D12" s="7"/>
      <c r="E12" s="7"/>
      <c r="F12" s="7"/>
      <c r="G12" s="11" t="str">
        <f aca="false">IF(COUNT(C12:F12)=0,"",SUM(C12:F12))</f>
        <v/>
      </c>
      <c r="H12" s="27" t="n">
        <f aca="false">Overview!$B$19/12</f>
        <v>22500</v>
      </c>
      <c r="I12" s="11" t="str">
        <f aca="false">IF(G12="","",G12-H12)</f>
        <v/>
      </c>
      <c r="J12" s="11" t="str">
        <f aca="false">IF(G12="","",SUM($G$6:G12))</f>
        <v/>
      </c>
      <c r="K12" s="11" t="n">
        <f aca="false">SUM($H$6:H12)</f>
        <v>157500</v>
      </c>
      <c r="L12" s="6" t="s">
        <v>81</v>
      </c>
    </row>
    <row r="13" customFormat="false" ht="15" hidden="false" customHeight="false" outlineLevel="0" collapsed="false">
      <c r="A13" s="33" t="n">
        <v>8</v>
      </c>
      <c r="B13" s="14" t="s">
        <v>80</v>
      </c>
      <c r="C13" s="7"/>
      <c r="D13" s="7"/>
      <c r="E13" s="7"/>
      <c r="F13" s="7"/>
      <c r="G13" s="11" t="str">
        <f aca="false">IF(COUNT(C13:F13)=0,"",SUM(C13:F13))</f>
        <v/>
      </c>
      <c r="H13" s="27" t="n">
        <f aca="false">Overview!$B$19/12</f>
        <v>22500</v>
      </c>
      <c r="I13" s="11" t="str">
        <f aca="false">IF(G13="","",G13-H13)</f>
        <v/>
      </c>
      <c r="J13" s="11" t="str">
        <f aca="false">IF(G13="","",SUM($G$6:G13))</f>
        <v/>
      </c>
      <c r="K13" s="11" t="n">
        <f aca="false">SUM($H$6:H13)</f>
        <v>180000</v>
      </c>
      <c r="L13" s="6" t="s">
        <v>82</v>
      </c>
    </row>
    <row r="14" customFormat="false" ht="15" hidden="false" customHeight="false" outlineLevel="0" collapsed="false">
      <c r="A14" s="33" t="n">
        <v>9</v>
      </c>
      <c r="B14" s="14" t="s">
        <v>80</v>
      </c>
      <c r="C14" s="7"/>
      <c r="D14" s="7"/>
      <c r="E14" s="7"/>
      <c r="F14" s="7"/>
      <c r="G14" s="11" t="str">
        <f aca="false">IF(COUNT(C14:F14)=0,"",SUM(C14:F14))</f>
        <v/>
      </c>
      <c r="H14" s="27" t="n">
        <f aca="false">Overview!$B$19/12</f>
        <v>22500</v>
      </c>
      <c r="I14" s="11" t="str">
        <f aca="false">IF(G14="","",G14-H14)</f>
        <v/>
      </c>
      <c r="J14" s="11" t="str">
        <f aca="false">IF(G14="","",SUM($G$6:G14))</f>
        <v/>
      </c>
      <c r="K14" s="11" t="n">
        <f aca="false">SUM($H$6:H14)</f>
        <v>202500</v>
      </c>
      <c r="L14" s="6" t="s">
        <v>83</v>
      </c>
    </row>
    <row r="15" customFormat="false" ht="15" hidden="false" customHeight="false" outlineLevel="0" collapsed="false">
      <c r="A15" s="33" t="n">
        <v>10</v>
      </c>
      <c r="B15" s="14" t="s">
        <v>84</v>
      </c>
      <c r="C15" s="7"/>
      <c r="D15" s="7"/>
      <c r="E15" s="7"/>
      <c r="F15" s="7"/>
      <c r="G15" s="11" t="str">
        <f aca="false">IF(COUNT(C15:F15)=0,"",SUM(C15:F15))</f>
        <v/>
      </c>
      <c r="H15" s="27" t="n">
        <f aca="false">Overview!$B$19/12</f>
        <v>22500</v>
      </c>
      <c r="I15" s="11" t="str">
        <f aca="false">IF(G15="","",G15-H15)</f>
        <v/>
      </c>
      <c r="J15" s="11" t="str">
        <f aca="false">IF(G15="","",SUM($G$6:G15))</f>
        <v/>
      </c>
      <c r="K15" s="11" t="n">
        <f aca="false">SUM($H$6:H15)</f>
        <v>225000</v>
      </c>
      <c r="L15" s="6" t="s">
        <v>85</v>
      </c>
    </row>
    <row r="16" customFormat="false" ht="15" hidden="false" customHeight="false" outlineLevel="0" collapsed="false">
      <c r="A16" s="33" t="n">
        <v>11</v>
      </c>
      <c r="B16" s="14" t="s">
        <v>84</v>
      </c>
      <c r="C16" s="7"/>
      <c r="D16" s="7"/>
      <c r="E16" s="7"/>
      <c r="F16" s="7"/>
      <c r="G16" s="11" t="str">
        <f aca="false">IF(COUNT(C16:F16)=0,"",SUM(C16:F16))</f>
        <v/>
      </c>
      <c r="H16" s="27" t="n">
        <f aca="false">Overview!$B$19/12</f>
        <v>22500</v>
      </c>
      <c r="I16" s="11" t="str">
        <f aca="false">IF(G16="","",G16-H16)</f>
        <v/>
      </c>
      <c r="J16" s="11" t="str">
        <f aca="false">IF(G16="","",SUM($G$6:G16))</f>
        <v/>
      </c>
      <c r="K16" s="11" t="n">
        <f aca="false">SUM($H$6:H16)</f>
        <v>247500</v>
      </c>
      <c r="L16" s="6" t="s">
        <v>86</v>
      </c>
    </row>
    <row r="17" customFormat="false" ht="15" hidden="false" customHeight="false" outlineLevel="0" collapsed="false">
      <c r="A17" s="33" t="n">
        <v>12</v>
      </c>
      <c r="B17" s="14" t="s">
        <v>84</v>
      </c>
      <c r="C17" s="7"/>
      <c r="D17" s="7"/>
      <c r="E17" s="7"/>
      <c r="F17" s="7"/>
      <c r="G17" s="11" t="str">
        <f aca="false">IF(COUNT(C17:F17)=0,"",SUM(C17:F17))</f>
        <v/>
      </c>
      <c r="H17" s="27" t="n">
        <f aca="false">Overview!$B$19/12</f>
        <v>22500</v>
      </c>
      <c r="I17" s="11" t="str">
        <f aca="false">IF(G17="","",G17-H17)</f>
        <v/>
      </c>
      <c r="J17" s="11" t="str">
        <f aca="false">IF(G17="","",SUM($G$6:G17))</f>
        <v/>
      </c>
      <c r="K17" s="11" t="n">
        <f aca="false">SUM($H$6:H17)</f>
        <v>270000</v>
      </c>
      <c r="L17" s="6" t="s">
        <v>87</v>
      </c>
    </row>
    <row r="18" customFormat="false" ht="15" hidden="false" customHeight="false" outlineLevel="0" collapsed="false">
      <c r="A18" s="19"/>
      <c r="B18" s="15" t="s">
        <v>33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270000</v>
      </c>
      <c r="I18" s="16" t="str">
        <f aca="false">IF(COUNT(G6:G17)=0,"",SUMIF(G6:G17,"&lt;&gt;",I6:I17))</f>
        <v/>
      </c>
      <c r="J18" s="19"/>
      <c r="K18" s="19"/>
      <c r="L18" s="19"/>
    </row>
  </sheetData>
  <conditionalFormatting sqref="I6:I18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A3" s="20" t="s">
        <v>90</v>
      </c>
    </row>
    <row r="5" customFormat="false" ht="30" hidden="false" customHeight="true" outlineLevel="0" collapsed="false">
      <c r="A5" s="5" t="s">
        <v>56</v>
      </c>
      <c r="B5" s="5" t="s">
        <v>29</v>
      </c>
      <c r="C5" s="5" t="s">
        <v>30</v>
      </c>
      <c r="D5" s="5" t="s">
        <v>57</v>
      </c>
      <c r="E5" s="5" t="s">
        <v>58</v>
      </c>
      <c r="F5" s="5" t="s">
        <v>23</v>
      </c>
      <c r="G5" s="5" t="s">
        <v>38</v>
      </c>
      <c r="H5" s="5" t="s">
        <v>60</v>
      </c>
      <c r="I5" s="5" t="s">
        <v>91</v>
      </c>
      <c r="J5" s="5" t="s">
        <v>92</v>
      </c>
    </row>
    <row r="6" customFormat="false" ht="15" hidden="false" customHeight="false" outlineLevel="0" collapsed="false">
      <c r="A6" s="10" t="s">
        <v>93</v>
      </c>
      <c r="B6" s="34" t="n">
        <v>17825.83</v>
      </c>
      <c r="C6" s="34" t="n">
        <v>10450.84</v>
      </c>
      <c r="D6" s="11" t="n">
        <f aca="false">B6+C6</f>
        <v>28276.67</v>
      </c>
      <c r="E6" s="34" t="n">
        <v>26630.37</v>
      </c>
      <c r="F6" s="13" t="n">
        <f aca="false">IF(E6=0,0,D6/E6)</f>
        <v>1.06182039528553</v>
      </c>
      <c r="G6" s="11" t="n">
        <f aca="false">E6-D6</f>
        <v>-1646.3</v>
      </c>
      <c r="H6" s="14" t="str">
        <f aca="false">IF(F6&gt;1,"Over budget",IF(F6&lt;0.6,"Under 60% used","OK"))</f>
        <v>Over budget</v>
      </c>
      <c r="I6" s="13" t="n">
        <f aca="false">IF($D$20=0,0,D6/$D$20)</f>
        <v>0.113143908871775</v>
      </c>
      <c r="J6" s="13" t="n">
        <f aca="false">IF(D6=0,0,B6/D6)</f>
        <v>0.630407682375612</v>
      </c>
    </row>
    <row r="7" customFormat="false" ht="15" hidden="false" customHeight="false" outlineLevel="0" collapsed="false">
      <c r="A7" s="10" t="s">
        <v>94</v>
      </c>
      <c r="B7" s="34" t="n">
        <v>8520.2</v>
      </c>
      <c r="C7" s="34" t="n">
        <v>6026.61</v>
      </c>
      <c r="D7" s="11" t="n">
        <f aca="false">B7+C7</f>
        <v>14546.81</v>
      </c>
      <c r="E7" s="34" t="n">
        <v>29658.15</v>
      </c>
      <c r="F7" s="13" t="n">
        <f aca="false">IF(E7=0,0,D7/E7)</f>
        <v>0.490482717229497</v>
      </c>
      <c r="G7" s="11" t="n">
        <f aca="false">E7-D7</f>
        <v>15111.34</v>
      </c>
      <c r="H7" s="14" t="str">
        <f aca="false">IF(F7&gt;1,"Over budget",IF(F7&lt;0.6,"Under 60% used","OK"))</f>
        <v>Under 60% used</v>
      </c>
      <c r="I7" s="13" t="n">
        <f aca="false">IF($D$20=0,0,D7/$D$20)</f>
        <v>0.0582063922312998</v>
      </c>
      <c r="J7" s="13" t="n">
        <f aca="false">IF(D7=0,0,B7/D7)</f>
        <v>0.585709169226793</v>
      </c>
    </row>
    <row r="8" customFormat="false" ht="15" hidden="false" customHeight="false" outlineLevel="0" collapsed="false">
      <c r="A8" s="10" t="s">
        <v>95</v>
      </c>
      <c r="B8" s="34" t="n">
        <v>8991.05</v>
      </c>
      <c r="C8" s="34" t="n">
        <v>3029.5</v>
      </c>
      <c r="D8" s="11" t="n">
        <f aca="false">B8+C8</f>
        <v>12020.55</v>
      </c>
      <c r="E8" s="34" t="n">
        <v>22995.72</v>
      </c>
      <c r="F8" s="13" t="n">
        <f aca="false">IF(E8=0,0,D8/E8)</f>
        <v>0.52272988190846</v>
      </c>
      <c r="G8" s="11" t="n">
        <f aca="false">E8-D8</f>
        <v>10975.17</v>
      </c>
      <c r="H8" s="14" t="str">
        <f aca="false">IF(F8&gt;1,"Over budget",IF(F8&lt;0.6,"Under 60% used","OK"))</f>
        <v>Under 60% used</v>
      </c>
      <c r="I8" s="13" t="n">
        <f aca="false">IF($D$20=0,0,D8/$D$20)</f>
        <v>0.0480980261745325</v>
      </c>
      <c r="J8" s="13" t="n">
        <f aca="false">IF(D8=0,0,B8/D8)</f>
        <v>0.747973262454713</v>
      </c>
    </row>
    <row r="9" customFormat="false" ht="15" hidden="false" customHeight="false" outlineLevel="0" collapsed="false">
      <c r="A9" s="10" t="s">
        <v>96</v>
      </c>
      <c r="B9" s="34" t="n">
        <v>7474.3</v>
      </c>
      <c r="C9" s="34" t="n">
        <v>1468.47</v>
      </c>
      <c r="D9" s="11" t="n">
        <f aca="false">B9+C9</f>
        <v>8942.77</v>
      </c>
      <c r="E9" s="34" t="n">
        <v>13663.52</v>
      </c>
      <c r="F9" s="13" t="n">
        <f aca="false">IF(E9=0,0,D9/E9)</f>
        <v>0.654499718959682</v>
      </c>
      <c r="G9" s="11" t="n">
        <f aca="false">E9-D9</f>
        <v>4720.75</v>
      </c>
      <c r="H9" s="14" t="str">
        <f aca="false">IF(F9&gt;1,"Over budget",IF(F9&lt;0.6,"Under 60% used","OK"))</f>
        <v>OK</v>
      </c>
      <c r="I9" s="13" t="n">
        <f aca="false">IF($D$20=0,0,D9/$D$20)</f>
        <v>0.035782853990277</v>
      </c>
      <c r="J9" s="13" t="n">
        <f aca="false">IF(D9=0,0,B9/D9)</f>
        <v>0.835792489351733</v>
      </c>
    </row>
    <row r="10" customFormat="false" ht="15" hidden="false" customHeight="false" outlineLevel="0" collapsed="false">
      <c r="A10" s="10" t="s">
        <v>97</v>
      </c>
      <c r="B10" s="34" t="n">
        <v>5738.34</v>
      </c>
      <c r="C10" s="34" t="n">
        <v>5775.01</v>
      </c>
      <c r="D10" s="11" t="n">
        <f aca="false">B10+C10</f>
        <v>11513.35</v>
      </c>
      <c r="E10" s="34" t="n">
        <v>22327.18</v>
      </c>
      <c r="F10" s="13" t="n">
        <f aca="false">IF(E10=0,0,D10/E10)</f>
        <v>0.515665211638908</v>
      </c>
      <c r="G10" s="11" t="n">
        <f aca="false">E10-D10</f>
        <v>10813.83</v>
      </c>
      <c r="H10" s="14" t="str">
        <f aca="false">IF(F10&gt;1,"Over budget",IF(F10&lt;0.6,"Under 60% used","OK"))</f>
        <v>Under 60% used</v>
      </c>
      <c r="I10" s="13" t="n">
        <f aca="false">IF($D$20=0,0,D10/$D$20)</f>
        <v>0.0460685583984554</v>
      </c>
      <c r="J10" s="13" t="n">
        <f aca="false">IF(D10=0,0,B10/D10)</f>
        <v>0.4984075008577</v>
      </c>
    </row>
    <row r="11" customFormat="false" ht="15" hidden="false" customHeight="false" outlineLevel="0" collapsed="false">
      <c r="A11" s="10" t="s">
        <v>98</v>
      </c>
      <c r="B11" s="34" t="n">
        <v>5475.19</v>
      </c>
      <c r="C11" s="34" t="n">
        <v>5942.62</v>
      </c>
      <c r="D11" s="11" t="n">
        <f aca="false">B11+C11</f>
        <v>11417.81</v>
      </c>
      <c r="E11" s="34" t="n">
        <v>21992</v>
      </c>
      <c r="F11" s="13" t="n">
        <f aca="false">IF(E11=0,0,D11/E11)</f>
        <v>0.519180156420517</v>
      </c>
      <c r="G11" s="11" t="n">
        <f aca="false">E11-D11</f>
        <v>10574.19</v>
      </c>
      <c r="H11" s="14" t="str">
        <f aca="false">IF(F11&gt;1,"Over budget",IF(F11&lt;0.6,"Under 60% used","OK"))</f>
        <v>Under 60% used</v>
      </c>
      <c r="I11" s="13" t="n">
        <f aca="false">IF($D$20=0,0,D11/$D$20)</f>
        <v>0.04568627261114</v>
      </c>
      <c r="J11" s="13" t="n">
        <f aca="false">IF(D11=0,0,B11/D11)</f>
        <v>0.479530663060604</v>
      </c>
    </row>
    <row r="12" customFormat="false" ht="15" hidden="false" customHeight="false" outlineLevel="0" collapsed="false">
      <c r="A12" s="10" t="s">
        <v>99</v>
      </c>
      <c r="B12" s="34" t="n">
        <v>4435.23</v>
      </c>
      <c r="C12" s="34" t="n">
        <v>1951.21</v>
      </c>
      <c r="D12" s="11" t="n">
        <f aca="false">B12+C12</f>
        <v>6386.44</v>
      </c>
      <c r="E12" s="34" t="n">
        <v>15328.36</v>
      </c>
      <c r="F12" s="13" t="n">
        <f aca="false">IF(E12=0,0,D12/E12)</f>
        <v>0.416642093479015</v>
      </c>
      <c r="G12" s="11" t="n">
        <f aca="false">E12-D12</f>
        <v>8941.92</v>
      </c>
      <c r="H12" s="14" t="str">
        <f aca="false">IF(F12&gt;1,"Over budget",IF(F12&lt;0.6,"Under 60% used","OK"))</f>
        <v>Under 60% used</v>
      </c>
      <c r="I12" s="13" t="n">
        <f aca="false">IF($D$20=0,0,D12/$D$20)</f>
        <v>0.0255541683435518</v>
      </c>
      <c r="J12" s="13" t="n">
        <f aca="false">IF(D12=0,0,B12/D12)</f>
        <v>0.694476108755426</v>
      </c>
    </row>
    <row r="13" customFormat="false" ht="15" hidden="false" customHeight="false" outlineLevel="0" collapsed="false">
      <c r="A13" s="10" t="s">
        <v>100</v>
      </c>
      <c r="B13" s="34" t="n">
        <v>4722.59</v>
      </c>
      <c r="C13" s="34" t="n">
        <v>1754.38</v>
      </c>
      <c r="D13" s="11" t="n">
        <f aca="false">B13+C13</f>
        <v>6476.97</v>
      </c>
      <c r="E13" s="34" t="n">
        <v>13663.52</v>
      </c>
      <c r="F13" s="13" t="n">
        <f aca="false">IF(E13=0,0,D13/E13)</f>
        <v>0.474033777533169</v>
      </c>
      <c r="G13" s="11" t="n">
        <f aca="false">E13-D13</f>
        <v>7186.55</v>
      </c>
      <c r="H13" s="14" t="str">
        <f aca="false">IF(F13&gt;1,"Over budget",IF(F13&lt;0.6,"Under 60% used","OK"))</f>
        <v>Under 60% used</v>
      </c>
      <c r="I13" s="13" t="n">
        <f aca="false">IF($D$20=0,0,D13/$D$20)</f>
        <v>0.0259164075347352</v>
      </c>
      <c r="J13" s="13" t="n">
        <f aca="false">IF(D13=0,0,B13/D13)</f>
        <v>0.729135691534776</v>
      </c>
    </row>
    <row r="14" customFormat="false" ht="15" hidden="false" customHeight="false" outlineLevel="0" collapsed="false">
      <c r="A14" s="10" t="s">
        <v>101</v>
      </c>
      <c r="B14" s="34" t="n">
        <v>29802.24</v>
      </c>
      <c r="C14" s="34" t="n">
        <v>17655.01</v>
      </c>
      <c r="D14" s="11" t="n">
        <f aca="false">B14+C14</f>
        <v>47457.25</v>
      </c>
      <c r="E14" s="34" t="n">
        <v>27967.45</v>
      </c>
      <c r="F14" s="13" t="n">
        <f aca="false">IF(E14=0,0,D14/E14)</f>
        <v>1.69687440220685</v>
      </c>
      <c r="G14" s="11" t="n">
        <f aca="false">E14-D14</f>
        <v>-19489.8</v>
      </c>
      <c r="H14" s="14" t="str">
        <f aca="false">IF(F14&gt;1,"Over budget",IF(F14&lt;0.6,"Under 60% used","OK"))</f>
        <v>Over budget</v>
      </c>
      <c r="I14" s="13" t="n">
        <f aca="false">IF($D$20=0,0,D14/$D$20)</f>
        <v>0.189891481893202</v>
      </c>
      <c r="J14" s="13" t="n">
        <f aca="false">IF(D14=0,0,B14/D14)</f>
        <v>0.627980761632838</v>
      </c>
    </row>
    <row r="15" customFormat="false" ht="15" hidden="false" customHeight="false" outlineLevel="0" collapsed="false">
      <c r="A15" s="10" t="s">
        <v>102</v>
      </c>
      <c r="B15" s="34" t="n">
        <v>14033.47</v>
      </c>
      <c r="C15" s="34" t="n">
        <v>4412.69</v>
      </c>
      <c r="D15" s="11" t="n">
        <f aca="false">B15+C15</f>
        <v>18446.16</v>
      </c>
      <c r="E15" s="34" t="n">
        <v>22327.06</v>
      </c>
      <c r="F15" s="13" t="n">
        <f aca="false">IF(E15=0,0,D15/E15)</f>
        <v>0.826179532818024</v>
      </c>
      <c r="G15" s="11" t="n">
        <f aca="false">E15-D15</f>
        <v>3880.9</v>
      </c>
      <c r="H15" s="14" t="str">
        <f aca="false">IF(F15&gt;1,"Over budget",IF(F15&lt;0.6,"Under 60% used","OK"))</f>
        <v>OK</v>
      </c>
      <c r="I15" s="13" t="n">
        <f aca="false">IF($D$20=0,0,D15/$D$20)</f>
        <v>0.0738089260890403</v>
      </c>
      <c r="J15" s="13" t="n">
        <f aca="false">IF(D15=0,0,B15/D15)</f>
        <v>0.760780021424513</v>
      </c>
    </row>
    <row r="16" customFormat="false" ht="15" hidden="false" customHeight="false" outlineLevel="0" collapsed="false">
      <c r="A16" s="10" t="s">
        <v>103</v>
      </c>
      <c r="B16" s="34" t="n">
        <v>13603.69</v>
      </c>
      <c r="C16" s="34" t="n">
        <v>4415.75</v>
      </c>
      <c r="D16" s="11" t="n">
        <f aca="false">B16+C16</f>
        <v>18019.44</v>
      </c>
      <c r="E16" s="34" t="n">
        <v>22327.06</v>
      </c>
      <c r="F16" s="13" t="n">
        <f aca="false">IF(E16=0,0,D16/E16)</f>
        <v>0.80706729860537</v>
      </c>
      <c r="G16" s="11" t="n">
        <f aca="false">E16-D16</f>
        <v>4307.62</v>
      </c>
      <c r="H16" s="14" t="str">
        <f aca="false">IF(F16&gt;1,"Over budget",IF(F16&lt;0.6,"Under 60% used","OK"))</f>
        <v>OK</v>
      </c>
      <c r="I16" s="13" t="n">
        <f aca="false">IF($D$20=0,0,D16/$D$20)</f>
        <v>0.072101484272385</v>
      </c>
      <c r="J16" s="13" t="n">
        <f aca="false">IF(D16=0,0,B16/D16)</f>
        <v>0.754945214723654</v>
      </c>
    </row>
    <row r="17" customFormat="false" ht="15" hidden="false" customHeight="false" outlineLevel="0" collapsed="false">
      <c r="A17" s="10" t="s">
        <v>104</v>
      </c>
      <c r="B17" s="34" t="n">
        <v>12132.84</v>
      </c>
      <c r="C17" s="34" t="n">
        <v>2356.54</v>
      </c>
      <c r="D17" s="11" t="n">
        <f aca="false">B17+C17</f>
        <v>14489.38</v>
      </c>
      <c r="E17" s="34" t="n">
        <v>18329.47</v>
      </c>
      <c r="F17" s="13" t="n">
        <f aca="false">IF(E17=0,0,D17/E17)</f>
        <v>0.790496397331729</v>
      </c>
      <c r="G17" s="11" t="n">
        <f aca="false">E17-D17</f>
        <v>3840.09</v>
      </c>
      <c r="H17" s="14" t="str">
        <f aca="false">IF(F17&gt;1,"Over budget",IF(F17&lt;0.6,"Under 60% used","OK"))</f>
        <v>OK</v>
      </c>
      <c r="I17" s="13" t="n">
        <f aca="false">IF($D$20=0,0,D17/$D$20)</f>
        <v>0.0579765966193516</v>
      </c>
      <c r="J17" s="13" t="n">
        <f aca="false">IF(D17=0,0,B17/D17)</f>
        <v>0.837360880865848</v>
      </c>
    </row>
    <row r="18" customFormat="false" ht="15" hidden="false" customHeight="false" outlineLevel="0" collapsed="false">
      <c r="A18" s="10" t="s">
        <v>105</v>
      </c>
      <c r="B18" s="34" t="n">
        <v>8893.59</v>
      </c>
      <c r="C18" s="34" t="n">
        <v>1522.89</v>
      </c>
      <c r="D18" s="11" t="n">
        <f aca="false">B18+C18</f>
        <v>10416.48</v>
      </c>
      <c r="E18" s="34" t="n">
        <v>9498.98</v>
      </c>
      <c r="F18" s="13" t="n">
        <f aca="false">IF(E18=0,0,D18/E18)</f>
        <v>1.09658931801099</v>
      </c>
      <c r="G18" s="11" t="n">
        <f aca="false">E18-D18</f>
        <v>-917.5</v>
      </c>
      <c r="H18" s="14" t="str">
        <f aca="false">IF(F18&gt;1,"Over budget",IF(F18&lt;0.6,"Under 60% used","OK"))</f>
        <v>Over budget</v>
      </c>
      <c r="I18" s="13" t="n">
        <f aca="false">IF($D$20=0,0,D18/$D$20)</f>
        <v>0.0416796342668592</v>
      </c>
      <c r="J18" s="13" t="n">
        <f aca="false">IF(D18=0,0,B18/D18)</f>
        <v>0.853799940094927</v>
      </c>
    </row>
    <row r="19" customFormat="false" ht="15" hidden="false" customHeight="false" outlineLevel="0" collapsed="false">
      <c r="A19" s="10" t="s">
        <v>106</v>
      </c>
      <c r="B19" s="34" t="n">
        <v>25413.03</v>
      </c>
      <c r="C19" s="34" t="n">
        <v>16094.63</v>
      </c>
      <c r="D19" s="11" t="n">
        <f aca="false">B19+C19</f>
        <v>41507.66</v>
      </c>
      <c r="E19" s="34" t="n">
        <v>27967.45</v>
      </c>
      <c r="F19" s="13" t="n">
        <f aca="false">IF(E19=0,0,D19/E19)</f>
        <v>1.48414174334807</v>
      </c>
      <c r="G19" s="11" t="n">
        <f aca="false">E19-D19</f>
        <v>-13540.21</v>
      </c>
      <c r="H19" s="14" t="str">
        <f aca="false">IF(F19&gt;1,"Over budget",IF(F19&lt;0.6,"Under 60% used","OK"))</f>
        <v>Over budget</v>
      </c>
      <c r="I19" s="13" t="n">
        <f aca="false">IF($D$20=0,0,D19/$D$20)</f>
        <v>0.166085288703395</v>
      </c>
      <c r="J19" s="13" t="n">
        <f aca="false">IF(D19=0,0,B19/D19)</f>
        <v>0.612249160757316</v>
      </c>
    </row>
    <row r="20" customFormat="false" ht="15" hidden="false" customHeight="false" outlineLevel="0" collapsed="false">
      <c r="A20" s="15" t="s">
        <v>33</v>
      </c>
      <c r="B20" s="16" t="n">
        <f aca="false">SUM(B6:B19)</f>
        <v>167061.59</v>
      </c>
      <c r="C20" s="16" t="n">
        <f aca="false">SUM(C6:C19)</f>
        <v>82856.15</v>
      </c>
      <c r="D20" s="16" t="n">
        <f aca="false">SUM(D6:D19)</f>
        <v>249917.74</v>
      </c>
      <c r="E20" s="16" t="n">
        <f aca="false">SUM(E6:E19)</f>
        <v>294676.29</v>
      </c>
      <c r="F20" s="17" t="n">
        <f aca="false">IF(E20=0,0,D20/E20)</f>
        <v>0.848109428824423</v>
      </c>
      <c r="G20" s="16" t="n">
        <f aca="false">SUM(G6:G19)</f>
        <v>44758.55</v>
      </c>
      <c r="H20" s="18" t="str">
        <f aca="false">IF(F20&gt;1,"Over budget",IF(F20&lt;0.6,"Under 60% used","OK"))</f>
        <v>OK</v>
      </c>
      <c r="I20" s="17" t="n">
        <f aca="false">SUM(I6:I19)</f>
        <v>1</v>
      </c>
      <c r="J20" s="17" t="n">
        <f aca="false">IF(D20=0,0,B20/D20)</f>
        <v>0.668466312155352</v>
      </c>
    </row>
    <row r="22" customFormat="false" ht="15" hidden="false" customHeight="false" outlineLevel="0" collapsed="false">
      <c r="A22" s="3" t="s">
        <v>107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30" hidden="false" customHeight="true" outlineLevel="0" collapsed="false">
      <c r="A23" s="5" t="s">
        <v>108</v>
      </c>
      <c r="B23" s="5" t="s">
        <v>29</v>
      </c>
      <c r="C23" s="5" t="s">
        <v>30</v>
      </c>
      <c r="D23" s="5" t="s">
        <v>57</v>
      </c>
      <c r="E23" s="5" t="s">
        <v>58</v>
      </c>
      <c r="F23" s="5" t="s">
        <v>23</v>
      </c>
      <c r="G23" s="5" t="s">
        <v>91</v>
      </c>
    </row>
    <row r="24" customFormat="false" ht="15" hidden="false" customHeight="false" outlineLevel="0" collapsed="false">
      <c r="A24" s="10" t="s">
        <v>109</v>
      </c>
      <c r="B24" s="11" t="n">
        <f aca="false">SUM(B6:B14)</f>
        <v>92984.97</v>
      </c>
      <c r="C24" s="11" t="n">
        <f aca="false">SUM(C6:C14)</f>
        <v>54053.65</v>
      </c>
      <c r="D24" s="11" t="n">
        <f aca="false">SUM(D6:D14)</f>
        <v>147038.62</v>
      </c>
      <c r="E24" s="11" t="n">
        <f aca="false">SUM(E6:E14)</f>
        <v>194226.27</v>
      </c>
      <c r="F24" s="13" t="n">
        <f aca="false">IF(E24=0,0,D24/E24)</f>
        <v>0.757048055342874</v>
      </c>
      <c r="G24" s="13" t="n">
        <f aca="false">IF($D$20=0,0,D24/$D$20)</f>
        <v>0.588348070048969</v>
      </c>
    </row>
    <row r="25" customFormat="false" ht="15" hidden="false" customHeight="false" outlineLevel="0" collapsed="false">
      <c r="A25" s="10" t="s">
        <v>110</v>
      </c>
      <c r="B25" s="11" t="n">
        <f aca="false">SUM(B15:B19)</f>
        <v>74076.62</v>
      </c>
      <c r="C25" s="11" t="n">
        <f aca="false">SUM(C15:C19)</f>
        <v>28802.5</v>
      </c>
      <c r="D25" s="11" t="n">
        <f aca="false">SUM(D15:D19)</f>
        <v>102879.12</v>
      </c>
      <c r="E25" s="11" t="n">
        <f aca="false">SUM(E15:E19)</f>
        <v>100450.02</v>
      </c>
      <c r="F25" s="13" t="n">
        <f aca="false">IF(E25=0,0,D25/E25)</f>
        <v>1.02418217537438</v>
      </c>
      <c r="G25" s="13" t="n">
        <f aca="false">IF($D$20=0,0,D25/$D$20)</f>
        <v>0.411651929951031</v>
      </c>
    </row>
    <row r="26" customFormat="false" ht="15" hidden="false" customHeight="false" outlineLevel="0" collapsed="false">
      <c r="A26" s="20" t="s">
        <v>111</v>
      </c>
    </row>
    <row r="28" customFormat="false" ht="15" hidden="false" customHeight="false" outlineLevel="0" collapsed="false">
      <c r="A28" s="3" t="s">
        <v>112</v>
      </c>
      <c r="B28" s="4"/>
      <c r="C28" s="4"/>
      <c r="D28" s="4"/>
      <c r="E28" s="4"/>
      <c r="F28" s="4"/>
      <c r="G28" s="4"/>
      <c r="H28" s="4"/>
      <c r="I28" s="4"/>
      <c r="J28" s="4"/>
    </row>
    <row r="29" customFormat="false" ht="30" hidden="false" customHeight="true" outlineLevel="0" collapsed="false">
      <c r="A29" s="5" t="s">
        <v>19</v>
      </c>
      <c r="B29" s="5" t="s">
        <v>113</v>
      </c>
      <c r="C29" s="5" t="s">
        <v>114</v>
      </c>
      <c r="D29" s="5" t="s">
        <v>115</v>
      </c>
      <c r="E29" s="5" t="s">
        <v>116</v>
      </c>
    </row>
    <row r="30" customFormat="false" ht="15" hidden="false" customHeight="false" outlineLevel="0" collapsed="false">
      <c r="A30" s="10" t="s">
        <v>29</v>
      </c>
      <c r="B30" s="11" t="n">
        <f aca="false">B20</f>
        <v>167061.59</v>
      </c>
      <c r="C30" s="27" t="n">
        <f aca="false">SUMPRODUCT(('Monthly Spend'!$A$6:$A$17&lt;=Overview!$B$11)*'Monthly Spend'!C$6:C$17)</f>
        <v>0</v>
      </c>
      <c r="D30" s="11" t="n">
        <f aca="false">C30-B30</f>
        <v>-167061.59</v>
      </c>
      <c r="E30" s="6" t="str">
        <f aca="false">IF(C30=0,"Monthly data not entered yet",IF(ABS(D30)&lt;=B30*0.01,"Matches (±1%)","Gap – investigate"))</f>
        <v>Monthly data not entered yet</v>
      </c>
    </row>
    <row r="31" customFormat="false" ht="15" hidden="false" customHeight="false" outlineLevel="0" collapsed="false">
      <c r="A31" s="10" t="s">
        <v>30</v>
      </c>
      <c r="B31" s="11" t="n">
        <f aca="false">C20</f>
        <v>82856.15</v>
      </c>
      <c r="C31" s="27" t="n">
        <f aca="false">SUMPRODUCT(('Monthly Spend'!$A$6:$A$17&lt;=Overview!$B$11)*'Monthly Spend'!D$6:D$17)</f>
        <v>0</v>
      </c>
      <c r="D31" s="11" t="n">
        <f aca="false">C31-B31</f>
        <v>-82856.15</v>
      </c>
      <c r="E31" s="6" t="str">
        <f aca="false">IF(C31=0,"Monthly data not entered yet",IF(ABS(D31)&lt;=B31*0.01,"Matches (±1%)","Gap – investigate"))</f>
        <v>Monthly data not entered yet</v>
      </c>
    </row>
  </sheetData>
  <conditionalFormatting sqref="H6:H20">
    <cfRule type="expression" priority="2" aboveAverage="0" equalAverage="0" bottom="0" percent="0" rank="0" text="" dxfId="0">
      <formula>H6="Over budget"</formula>
    </cfRule>
    <cfRule type="expression" priority="3" aboveAverage="0" equalAverage="0" bottom="0" percent="0" rank="0" text="" dxfId="1">
      <formula>H6="Under 60% used"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117</v>
      </c>
    </row>
    <row r="3" customFormat="false" ht="15" hidden="false" customHeight="false" outlineLevel="0" collapsed="false">
      <c r="A3" s="3" t="s">
        <v>118</v>
      </c>
      <c r="B3" s="4"/>
    </row>
    <row r="4" customFormat="false" ht="15" hidden="false" customHeight="false" outlineLevel="0" collapsed="false">
      <c r="A4" s="35" t="s">
        <v>119</v>
      </c>
      <c r="B4" s="36" t="s">
        <v>120</v>
      </c>
    </row>
    <row r="5" customFormat="false" ht="15" hidden="false" customHeight="false" outlineLevel="0" collapsed="false">
      <c r="A5" s="35" t="s">
        <v>121</v>
      </c>
      <c r="B5" s="36" t="s">
        <v>122</v>
      </c>
    </row>
    <row r="6" customFormat="false" ht="15" hidden="false" customHeight="false" outlineLevel="0" collapsed="false">
      <c r="A6" s="35" t="s">
        <v>123</v>
      </c>
      <c r="B6" s="36" t="s">
        <v>124</v>
      </c>
    </row>
    <row r="7" customFormat="false" ht="15" hidden="false" customHeight="false" outlineLevel="0" collapsed="false">
      <c r="A7" s="35" t="s">
        <v>125</v>
      </c>
      <c r="B7" s="36" t="s">
        <v>126</v>
      </c>
    </row>
    <row r="9" customFormat="false" ht="15" hidden="false" customHeight="false" outlineLevel="0" collapsed="false">
      <c r="A9" s="3" t="s">
        <v>127</v>
      </c>
      <c r="B9" s="4"/>
    </row>
    <row r="10" customFormat="false" ht="15" hidden="false" customHeight="false" outlineLevel="0" collapsed="false">
      <c r="A10" s="35" t="s">
        <v>128</v>
      </c>
      <c r="B10" s="36" t="s">
        <v>129</v>
      </c>
    </row>
    <row r="11" customFormat="false" ht="15" hidden="false" customHeight="false" outlineLevel="0" collapsed="false">
      <c r="A11" s="35" t="s">
        <v>130</v>
      </c>
      <c r="B11" s="36" t="s">
        <v>131</v>
      </c>
    </row>
    <row r="12" customFormat="false" ht="15" hidden="false" customHeight="false" outlineLevel="0" collapsed="false">
      <c r="A12" s="35" t="s">
        <v>132</v>
      </c>
      <c r="B12" s="36" t="s">
        <v>133</v>
      </c>
    </row>
    <row r="13" customFormat="false" ht="15" hidden="false" customHeight="false" outlineLevel="0" collapsed="false">
      <c r="A13" s="35" t="s">
        <v>134</v>
      </c>
      <c r="B13" s="36" t="s">
        <v>135</v>
      </c>
    </row>
    <row r="14" customFormat="false" ht="15" hidden="false" customHeight="false" outlineLevel="0" collapsed="false">
      <c r="A14" s="35" t="s">
        <v>136</v>
      </c>
      <c r="B14" s="36" t="s">
        <v>137</v>
      </c>
    </row>
    <row r="15" customFormat="false" ht="23.85" hidden="false" customHeight="false" outlineLevel="0" collapsed="false">
      <c r="A15" s="35" t="s">
        <v>138</v>
      </c>
      <c r="B15" s="36" t="s">
        <v>139</v>
      </c>
    </row>
    <row r="17" customFormat="false" ht="15" hidden="false" customHeight="false" outlineLevel="0" collapsed="false">
      <c r="A17" s="3" t="s">
        <v>140</v>
      </c>
      <c r="B17" s="4"/>
    </row>
    <row r="18" customFormat="false" ht="15" hidden="false" customHeight="false" outlineLevel="0" collapsed="false">
      <c r="A18" s="35" t="s">
        <v>141</v>
      </c>
      <c r="B18" s="36" t="s">
        <v>142</v>
      </c>
    </row>
    <row r="19" customFormat="false" ht="15" hidden="false" customHeight="false" outlineLevel="0" collapsed="false">
      <c r="A19" s="35" t="s">
        <v>143</v>
      </c>
      <c r="B19" s="36" t="s">
        <v>144</v>
      </c>
    </row>
    <row r="20" customFormat="false" ht="15" hidden="false" customHeight="false" outlineLevel="0" collapsed="false">
      <c r="A20" s="35" t="s">
        <v>145</v>
      </c>
      <c r="B20" s="36" t="s">
        <v>146</v>
      </c>
    </row>
    <row r="22" customFormat="false" ht="15" hidden="false" customHeight="false" outlineLevel="0" collapsed="false">
      <c r="A22" s="3" t="s">
        <v>147</v>
      </c>
      <c r="B22" s="4"/>
    </row>
    <row r="23" customFormat="false" ht="15" hidden="false" customHeight="false" outlineLevel="0" collapsed="false">
      <c r="A23" s="35" t="s">
        <v>148</v>
      </c>
      <c r="B23" s="36" t="s">
        <v>149</v>
      </c>
    </row>
    <row r="24" customFormat="false" ht="15" hidden="false" customHeight="false" outlineLevel="0" collapsed="false">
      <c r="A24" s="35" t="s">
        <v>150</v>
      </c>
      <c r="B24" s="36" t="s">
        <v>151</v>
      </c>
    </row>
    <row r="25" customFormat="false" ht="15" hidden="false" customHeight="false" outlineLevel="0" collapsed="false">
      <c r="A25" s="35" t="s">
        <v>152</v>
      </c>
      <c r="B25" s="36" t="s">
        <v>153</v>
      </c>
    </row>
    <row r="27" customFormat="false" ht="15" hidden="false" customHeight="false" outlineLevel="0" collapsed="false">
      <c r="A27" s="3" t="s">
        <v>154</v>
      </c>
      <c r="B27" s="4"/>
    </row>
    <row r="28" customFormat="false" ht="15" hidden="false" customHeight="false" outlineLevel="0" collapsed="false">
      <c r="A28" s="35" t="s">
        <v>155</v>
      </c>
      <c r="B28" s="36" t="s">
        <v>156</v>
      </c>
    </row>
    <row r="29" customFormat="false" ht="15" hidden="false" customHeight="false" outlineLevel="0" collapsed="false">
      <c r="A29" s="35" t="s">
        <v>157</v>
      </c>
      <c r="B29" s="36" t="s">
        <v>158</v>
      </c>
    </row>
    <row r="30" customFormat="false" ht="15" hidden="false" customHeight="false" outlineLevel="0" collapsed="false">
      <c r="A30" s="35" t="s">
        <v>159</v>
      </c>
      <c r="B30" s="36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2026-10-08T08:12:44Z</dcterms:created>
  <dc:creator>openpyxl</dc:creator>
  <dc:description/>
  <dc:language>en-US</dc:language>
  <cp:lastModifiedBy/>
  <dcterms:modified xsi:type="dcterms:W3CDTF">2026-10-08T08:12:44Z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